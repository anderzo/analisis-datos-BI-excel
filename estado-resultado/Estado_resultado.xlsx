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9840" activeTab="3"/>
  </bookViews>
  <sheets>
    <sheet name="ER" sheetId="1" r:id="rId1"/>
    <sheet name="ER_tr" sheetId="2" r:id="rId2"/>
    <sheet name="ER_dn1" sheetId="3" r:id="rId3"/>
    <sheet name="dashboard" sheetId="4" r:id="rId4"/>
  </sheets>
  <definedNames>
    <definedName name="Segmento_Año">#N/A</definedName>
    <definedName name="Segmento_Nombre_Mes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<sst xmlns="http://schemas.openxmlformats.org/spreadsheetml/2006/main" count="128" uniqueCount="36">
  <si>
    <t>Año</t>
  </si>
  <si>
    <t>Mes</t>
  </si>
  <si>
    <t>Nombre_Mes</t>
  </si>
  <si>
    <t>Ventas</t>
  </si>
  <si>
    <t>Costos</t>
  </si>
  <si>
    <t>Gastos_Operativos</t>
  </si>
  <si>
    <t>Otros_Ingresos_Gastos</t>
  </si>
  <si>
    <t>Impuestos_Tasa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</si>
  <si>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</si>
  <si>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</si>
  <si>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</si>
  <si>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</si>
  <si>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</si>
  <si>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</si>
  <si>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</si>
  <si>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</si>
  <si>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</si>
  <si>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</si>
  <si>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</si>
  <si>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</si>
  <si>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Utilidad_bruta</t>
  </si>
  <si>
    <t>Utilidad_operativa</t>
  </si>
  <si>
    <t>Utilida_anteimpuestos</t>
  </si>
  <si>
    <t>ISV</t>
  </si>
  <si>
    <t>Utilidad neta</t>
  </si>
  <si>
    <t>Suma de Ventas</t>
  </si>
  <si>
    <t>Suma de Costos</t>
  </si>
  <si>
    <t>Máximo de Impuestos_Tasa</t>
  </si>
  <si>
    <t>Promedio de Ventas</t>
  </si>
  <si>
    <t>Suma de Utilidad neta</t>
  </si>
  <si>
    <t>Suma de margen_neto</t>
  </si>
  <si>
    <t>Suma de margen_bruto</t>
  </si>
  <si>
    <t>Suma de MARGEN_OPERATIVO</t>
  </si>
  <si>
    <t>Total general</t>
  </si>
  <si>
    <t>Suma de Gastos_Operativos</t>
  </si>
  <si>
    <t>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</si>
</sst>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#,##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178" fontId="0" fillId="0" borderId="0" xfId="0" applyNumberFormat="1"/>
    <xf numFmtId="10" fontId="0" fillId="0" borderId="0" xfId="0" applyNumberFormat="1"/>
    <xf numFmtId="0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9" defaultPivotStyle="PivotStyleLight16">
    <tableStyle name="Estilo de segmento 1" pivot="0" table="0" count="4" xr9:uid="{4AB2D804-C265-43F5-B099-2E6F73AEA170}"/>
  </tableStyles>
  <colors>
    <mruColors>
      <color rgb="00284432"/>
    </mruColors>
  </colors>
  <extLst>
    <ext xmlns:x14="http://schemas.microsoft.com/office/spreadsheetml/2009/9/main" uri="{46F421CA-312F-682f-3DD2-61675219B42D}">
      <x14:dxfs count="4">
        <dxf>
          <fill>
            <patternFill patternType="solid">
              <bgColor theme="8" tint="-0.5"/>
            </patternFill>
          </fill>
        </dxf>
        <dxf>
          <fill>
            <patternFill patternType="solid">
              <bgColor theme="6" tint="-0.25"/>
            </patternFill>
          </fill>
        </dxf>
        <dxf>
          <fill>
            <patternFill patternType="solid">
              <bgColor theme="6" tint="-0.5"/>
            </patternFill>
          </fill>
        </dxf>
        <dxf>
          <fill>
            <patternFill patternType="solid">
              <bgColor theme="8" tint="-0.2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o 1">
          <x14:slicerStyleElements>
            <x14:slicerStyleElement type="unselectedItemWithData" dxfId="3"/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[Estado_resultado.xlsx]ER_dn1!VentasXmes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0350508236943568"/>
          <c:y val="0.00792811839323467"/>
          <c:w val="0.992405654866223"/>
          <c:h val="0.6393998695368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ER_dn1!$B$11:$B$12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ER_dn1!$A$13:$A$25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ER_dn1!$B$13:$B$25</c:f>
              <c:numCache>
                <c:formatCode>#,##0_ </c:formatCode>
                <c:ptCount val="12"/>
                <c:pt idx="0">
                  <c:v>1850000</c:v>
                </c:pt>
                <c:pt idx="1">
                  <c:v>1950000</c:v>
                </c:pt>
                <c:pt idx="2">
                  <c:v>2100000</c:v>
                </c:pt>
                <c:pt idx="3">
                  <c:v>2250000</c:v>
                </c:pt>
                <c:pt idx="4">
                  <c:v>2400000</c:v>
                </c:pt>
                <c:pt idx="5">
                  <c:v>2550000</c:v>
                </c:pt>
                <c:pt idx="6">
                  <c:v>2450000</c:v>
                </c:pt>
                <c:pt idx="7">
                  <c:v>2350000</c:v>
                </c:pt>
                <c:pt idx="8">
                  <c:v>2600000</c:v>
                </c:pt>
                <c:pt idx="9">
                  <c:v>2750000</c:v>
                </c:pt>
                <c:pt idx="10">
                  <c:v>2900000</c:v>
                </c:pt>
                <c:pt idx="11">
                  <c:v>3100000</c:v>
                </c:pt>
              </c:numCache>
            </c:numRef>
          </c:val>
        </c:ser>
        <c:ser>
          <c:idx val="1"/>
          <c:order val="1"/>
          <c:tx>
            <c:strRef>
              <c:f>ER_dn1!$C$11:$C$12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ER_dn1!$A$13:$A$25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ER_dn1!$C$13:$C$25</c:f>
              <c:numCache>
                <c:formatCode>#,##0_ </c:formatCode>
                <c:ptCount val="12"/>
                <c:pt idx="0">
                  <c:v>2072000</c:v>
                </c:pt>
                <c:pt idx="1">
                  <c:v>2184000</c:v>
                </c:pt>
                <c:pt idx="2">
                  <c:v>2352000</c:v>
                </c:pt>
                <c:pt idx="3">
                  <c:v>2520000</c:v>
                </c:pt>
                <c:pt idx="4">
                  <c:v>2688000</c:v>
                </c:pt>
                <c:pt idx="5">
                  <c:v>2856000</c:v>
                </c:pt>
                <c:pt idx="6">
                  <c:v>2744000</c:v>
                </c:pt>
                <c:pt idx="7">
                  <c:v>2632000</c:v>
                </c:pt>
                <c:pt idx="8">
                  <c:v>2912000</c:v>
                </c:pt>
                <c:pt idx="9">
                  <c:v>3080000</c:v>
                </c:pt>
                <c:pt idx="10">
                  <c:v>3248000</c:v>
                </c:pt>
                <c:pt idx="11">
                  <c:v>3472000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0"/>
        <c:axId val="308139478"/>
        <c:axId val="847685881"/>
      </c:barChart>
      <c:catAx>
        <c:axId val="30813947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47685881"/>
        <c:crosses val="autoZero"/>
        <c:auto val="1"/>
        <c:lblAlgn val="ctr"/>
        <c:lblOffset val="100"/>
        <c:noMultiLvlLbl val="0"/>
      </c:catAx>
      <c:valAx>
        <c:axId val="847685881"/>
        <c:scaling>
          <c:orientation val="minMax"/>
        </c:scaling>
        <c:delete val="1"/>
        <c:axPos val="l"/>
        <c:numFmt formatCode="#,##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81394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s-ES"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96593957774408"/>
          <c:y val="0.0652756508422665"/>
          <c:w val="0.244255219876356"/>
          <c:h val="0.11715160796324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ES"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bb6344-82b4-4066-8364-85cbab3b483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[Estado_resultado.xlsx]ER_dn1!Tabla 
dinámica1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471712356155581"/>
          <c:y val="0.00933997509339975"/>
          <c:w val="0.931990846681922"/>
          <c:h val="0.706111111111111"/>
        </c:manualLayout>
      </c:layout>
      <c:lineChart>
        <c:grouping val="stacked"/>
        <c:varyColors val="0"/>
        <c:ser>
          <c:idx val="0"/>
          <c:order val="0"/>
          <c:tx>
            <c:strRef>
              <c:f>ER_dn1!$G$11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11"/>
              <c:layout>
                <c:manualLayout>
                  <c:x val="0.00946972985544419"/>
                  <c:y val="0.11674968866749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E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ER_dn1!$F$12:$F$24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ER_dn1!$G$12:$G$24</c:f>
              <c:numCache>
                <c:formatCode>0.00%</c:formatCode>
                <c:ptCount val="12"/>
                <c:pt idx="1">
                  <c:v>0.217821782178218</c:v>
                </c:pt>
                <c:pt idx="2">
                  <c:v>0.366336633663366</c:v>
                </c:pt>
                <c:pt idx="3">
                  <c:v>0.415841584158416</c:v>
                </c:pt>
                <c:pt idx="4">
                  <c:v>0.564356435643564</c:v>
                </c:pt>
                <c:pt idx="5">
                  <c:v>0.673267326732673</c:v>
                </c:pt>
                <c:pt idx="6">
                  <c:v>0.554455445544555</c:v>
                </c:pt>
                <c:pt idx="7">
                  <c:v>0.455445544554455</c:v>
                </c:pt>
                <c:pt idx="8">
                  <c:v>0.722772277227723</c:v>
                </c:pt>
                <c:pt idx="9">
                  <c:v>0.831683168316832</c:v>
                </c:pt>
                <c:pt idx="10">
                  <c:v>0.96039603960396</c:v>
                </c:pt>
                <c:pt idx="11">
                  <c:v>1.13861386138614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2639271"/>
        <c:axId val="624064794"/>
      </c:lineChart>
      <c:catAx>
        <c:axId val="77263927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24064794"/>
        <c:crosses val="autoZero"/>
        <c:auto val="1"/>
        <c:lblAlgn val="ctr"/>
        <c:lblOffset val="100"/>
        <c:noMultiLvlLbl val="0"/>
      </c:catAx>
      <c:valAx>
        <c:axId val="624064794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72639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069d68-0d9b-43b0-a028-2a770d1b013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[Estado_resultado.xlsx]ER_dn1!Tabla 
dinámica3</c:name>
    <c:fmtId val="4"/>
  </c:pivotSource>
  <c:chart>
    <c:autoTitleDeleted val="1"/>
    <c:plotArea>
      <c:layout>
        <c:manualLayout>
          <c:layoutTarget val="inner"/>
          <c:xMode val="edge"/>
          <c:yMode val="edge"/>
          <c:x val="0.0357097706574812"/>
          <c:y val="0.00985507246376812"/>
          <c:w val="0.955959946973232"/>
          <c:h val="0.7062028985507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ER_dn1!$G$26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8443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E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ER_dn1!$F$27:$F$39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Septiembre</c:v>
                </c:pt>
                <c:pt idx="8">
                  <c:v>Agosto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ER_dn1!$G$27:$G$39</c:f>
              <c:numCache>
                <c:formatCode>#,##0_ </c:formatCode>
                <c:ptCount val="12"/>
                <c:pt idx="0">
                  <c:v>784400</c:v>
                </c:pt>
                <c:pt idx="1">
                  <c:v>826800</c:v>
                </c:pt>
                <c:pt idx="2">
                  <c:v>890400</c:v>
                </c:pt>
                <c:pt idx="3">
                  <c:v>954000</c:v>
                </c:pt>
                <c:pt idx="4">
                  <c:v>1017600</c:v>
                </c:pt>
                <c:pt idx="5">
                  <c:v>1081200</c:v>
                </c:pt>
                <c:pt idx="6">
                  <c:v>1038800</c:v>
                </c:pt>
                <c:pt idx="7">
                  <c:v>1102400</c:v>
                </c:pt>
                <c:pt idx="8">
                  <c:v>996400</c:v>
                </c:pt>
                <c:pt idx="9">
                  <c:v>1166000</c:v>
                </c:pt>
                <c:pt idx="10">
                  <c:v>1229600</c:v>
                </c:pt>
                <c:pt idx="11">
                  <c:v>1314400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54"/>
        <c:axId val="351817076"/>
        <c:axId val="650911097"/>
      </c:barChart>
      <c:catAx>
        <c:axId val="3518170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50911097"/>
        <c:crosses val="autoZero"/>
        <c:auto val="1"/>
        <c:lblAlgn val="ctr"/>
        <c:lblOffset val="100"/>
        <c:noMultiLvlLbl val="0"/>
      </c:catAx>
      <c:valAx>
        <c:axId val="650911097"/>
        <c:scaling>
          <c:orientation val="minMax"/>
        </c:scaling>
        <c:delete val="1"/>
        <c:axPos val="l"/>
        <c:numFmt formatCode="#,##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518170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cd2d19-c652-4fb1-bde0-a7e99e3dbc4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285750</xdr:colOff>
      <xdr:row>0</xdr:row>
      <xdr:rowOff>133350</xdr:rowOff>
    </xdr:from>
    <xdr:to>
      <xdr:col>2</xdr:col>
      <xdr:colOff>962025</xdr:colOff>
      <xdr:row>2</xdr:row>
      <xdr:rowOff>57150</xdr:rowOff>
    </xdr:to>
    <xdr:sp>
      <xdr:nvSpPr>
        <xdr:cNvPr id="9" name="Rectángulo redondeado 8"/>
        <xdr:cNvSpPr/>
      </xdr:nvSpPr>
      <xdr:spPr>
        <a:xfrm>
          <a:off x="285750" y="133350"/>
          <a:ext cx="2314575" cy="304800"/>
        </a:xfrm>
        <a:prstGeom prst="round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s-ES" altLang="en-US" sz="1100">
              <a:solidFill>
                <a:sysClr val="windowText" lastClr="000000"/>
              </a:solidFill>
            </a:rPr>
            <a:t>KPIs mas importantes</a:t>
          </a:r>
          <a:endParaRPr lang="es-ES" altLang="en-US" sz="1100">
            <a:solidFill>
              <a:sysClr val="windowText" lastClr="000000"/>
            </a:solidFill>
          </a:endParaRPr>
        </a:p>
        <a:p>
          <a:pPr algn="l"/>
          <a:endParaRPr lang="es-ES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69850</xdr:colOff>
      <xdr:row>7</xdr:row>
      <xdr:rowOff>12700</xdr:rowOff>
    </xdr:from>
    <xdr:to>
      <xdr:col>2</xdr:col>
      <xdr:colOff>746125</xdr:colOff>
      <xdr:row>8</xdr:row>
      <xdr:rowOff>127000</xdr:rowOff>
    </xdr:to>
    <xdr:sp>
      <xdr:nvSpPr>
        <xdr:cNvPr id="11" name="Rectángulo redondeado 10"/>
        <xdr:cNvSpPr/>
      </xdr:nvSpPr>
      <xdr:spPr>
        <a:xfrm>
          <a:off x="69850" y="1346200"/>
          <a:ext cx="2524125" cy="304800"/>
        </a:xfrm>
        <a:prstGeom prst="round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n-US" sz="1100">
              <a:solidFill>
                <a:sysClr val="windowText" lastClr="000000"/>
              </a:solidFill>
            </a:rPr>
            <a:t>Ventas por mes</a:t>
          </a:r>
          <a:endParaRPr lang="es-ES" altLang="en-US" sz="1100">
            <a:solidFill>
              <a:sysClr val="windowText" lastClr="000000"/>
            </a:solidFill>
          </a:endParaRPr>
        </a:p>
        <a:p>
          <a:pPr algn="l"/>
          <a:endParaRPr lang="es-ES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156210</xdr:colOff>
      <xdr:row>3</xdr:row>
      <xdr:rowOff>0</xdr:rowOff>
    </xdr:from>
    <xdr:to>
      <xdr:col>9</xdr:col>
      <xdr:colOff>527050</xdr:colOff>
      <xdr:row>17</xdr:row>
      <xdr:rowOff>96520</xdr:rowOff>
    </xdr:to>
    <xdr:sp>
      <xdr:nvSpPr>
        <xdr:cNvPr id="22" name="Rectángulo redondeado 21"/>
        <xdr:cNvSpPr/>
      </xdr:nvSpPr>
      <xdr:spPr>
        <a:xfrm>
          <a:off x="156210" y="571500"/>
          <a:ext cx="5857240" cy="2763520"/>
        </a:xfrm>
        <a:prstGeom prst="roundRect">
          <a:avLst/>
        </a:prstGeom>
        <a:solidFill>
          <a:sysClr val="window" lastClr="FFFFFF"/>
        </a:solidFill>
        <a:ln w="12700" cmpd="sng">
          <a:solidFill>
            <a:schemeClr val="tx1"/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endParaRPr lang="es-ES" altLang="en-US" sz="18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116840</xdr:colOff>
      <xdr:row>18</xdr:row>
      <xdr:rowOff>69850</xdr:rowOff>
    </xdr:from>
    <xdr:to>
      <xdr:col>19</xdr:col>
      <xdr:colOff>117475</xdr:colOff>
      <xdr:row>34</xdr:row>
      <xdr:rowOff>2540</xdr:rowOff>
    </xdr:to>
    <xdr:sp>
      <xdr:nvSpPr>
        <xdr:cNvPr id="21" name="Rectángulo redondeado 20"/>
        <xdr:cNvSpPr/>
      </xdr:nvSpPr>
      <xdr:spPr>
        <a:xfrm>
          <a:off x="6212840" y="3498850"/>
          <a:ext cx="5487035" cy="2980690"/>
        </a:xfrm>
        <a:prstGeom prst="roundRect">
          <a:avLst/>
        </a:prstGeom>
        <a:solidFill>
          <a:srgbClr val="284432"/>
        </a:solidFill>
        <a:ln w="12700" cmpd="sng">
          <a:solidFill>
            <a:schemeClr val="tx1"/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endParaRPr lang="es-ES" alt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133350</xdr:colOff>
      <xdr:row>18</xdr:row>
      <xdr:rowOff>114300</xdr:rowOff>
    </xdr:from>
    <xdr:to>
      <xdr:col>9</xdr:col>
      <xdr:colOff>590550</xdr:colOff>
      <xdr:row>34</xdr:row>
      <xdr:rowOff>38100</xdr:rowOff>
    </xdr:to>
    <xdr:sp>
      <xdr:nvSpPr>
        <xdr:cNvPr id="20" name="Rectángulo redondeado 19"/>
        <xdr:cNvSpPr/>
      </xdr:nvSpPr>
      <xdr:spPr>
        <a:xfrm>
          <a:off x="133350" y="3543300"/>
          <a:ext cx="5943600" cy="2971800"/>
        </a:xfrm>
        <a:prstGeom prst="roundRect">
          <a:avLst/>
        </a:prstGeom>
        <a:solidFill>
          <a:sysClr val="window" lastClr="FFFFFF"/>
        </a:solidFill>
        <a:ln w="12700" cmpd="sng">
          <a:solidFill>
            <a:schemeClr val="tx1"/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endParaRPr lang="es-ES" altLang="en-US" sz="1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66675</xdr:colOff>
      <xdr:row>0</xdr:row>
      <xdr:rowOff>85725</xdr:rowOff>
    </xdr:from>
    <xdr:to>
      <xdr:col>14</xdr:col>
      <xdr:colOff>228600</xdr:colOff>
      <xdr:row>5</xdr:row>
      <xdr:rowOff>56515</xdr:rowOff>
    </xdr:to>
    <xdr:sp textlink="ER_dn1!$A$5">
      <xdr:nvSpPr>
        <xdr:cNvPr id="2" name="Rectángulo redondeado 1"/>
        <xdr:cNvSpPr/>
      </xdr:nvSpPr>
      <xdr:spPr>
        <a:xfrm>
          <a:off x="7381875" y="85725"/>
          <a:ext cx="1381125" cy="923290"/>
        </a:xfrm>
        <a:prstGeom prst="roundRect">
          <a:avLst/>
        </a:prstGeom>
        <a:solidFill>
          <a:schemeClr val="accent3">
            <a:lumMod val="50000"/>
          </a:schemeClr>
        </a:solidFill>
        <a:ln w="12700" cmpd="sng">
          <a:solidFill>
            <a:schemeClr val="tx1"/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s-ES" altLang="en-US" sz="1800">
              <a:solidFill>
                <a:schemeClr val="bg1"/>
              </a:solidFill>
            </a:rPr>
            <a:t>62.010.000 </a:t>
          </a:fld>
          <a:endParaRPr lang="es-ES" alt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355600</xdr:colOff>
      <xdr:row>0</xdr:row>
      <xdr:rowOff>107950</xdr:rowOff>
    </xdr:from>
    <xdr:to>
      <xdr:col>16</xdr:col>
      <xdr:colOff>460375</xdr:colOff>
      <xdr:row>5</xdr:row>
      <xdr:rowOff>41275</xdr:rowOff>
    </xdr:to>
    <xdr:sp textlink="ER_dn1!$B$5">
      <xdr:nvSpPr>
        <xdr:cNvPr id="3" name="Rectángulo redondeado 2"/>
        <xdr:cNvSpPr/>
      </xdr:nvSpPr>
      <xdr:spPr>
        <a:xfrm>
          <a:off x="8890000" y="107950"/>
          <a:ext cx="1323975" cy="885825"/>
        </a:xfrm>
        <a:prstGeom prst="roundRect">
          <a:avLst/>
        </a:prstGeom>
        <a:solidFill>
          <a:schemeClr val="accent3">
            <a:lumMod val="50000"/>
          </a:schemeClr>
        </a:solidFill>
        <a:ln w="12700" cmpd="sng">
          <a:solidFill>
            <a:schemeClr val="tx1"/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s-ES" altLang="en-US" sz="1800">
              <a:solidFill>
                <a:schemeClr val="bg1"/>
              </a:solidFill>
            </a:rPr>
            <a:t>40.306.500 </a:t>
          </a:fld>
          <a:endParaRPr lang="es-ES" alt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606425</xdr:colOff>
      <xdr:row>0</xdr:row>
      <xdr:rowOff>111125</xdr:rowOff>
    </xdr:from>
    <xdr:to>
      <xdr:col>19</xdr:col>
      <xdr:colOff>14605</xdr:colOff>
      <xdr:row>5</xdr:row>
      <xdr:rowOff>34925</xdr:rowOff>
    </xdr:to>
    <xdr:sp textlink="ER_dn1!$C$5">
      <xdr:nvSpPr>
        <xdr:cNvPr id="4" name="Rectángulo redondeado 3"/>
        <xdr:cNvSpPr/>
      </xdr:nvSpPr>
      <xdr:spPr>
        <a:xfrm>
          <a:off x="10360025" y="111125"/>
          <a:ext cx="1236980" cy="876300"/>
        </a:xfrm>
        <a:prstGeom prst="roundRect">
          <a:avLst/>
        </a:prstGeom>
        <a:solidFill>
          <a:sysClr val="window" lastClr="FFFFFF"/>
        </a:solidFill>
        <a:ln w="12700" cmpd="sng">
          <a:solidFill>
            <a:schemeClr val="tx1"/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s-ES" altLang="en-US" sz="1800">
              <a:solidFill>
                <a:schemeClr val="tx1"/>
              </a:solidFill>
            </a:rPr>
            <a:t>28,00%</a:t>
          </a:fld>
          <a:endParaRPr lang="es-ES" altLang="en-US" sz="1800">
            <a:solidFill>
              <a:schemeClr val="tx1"/>
            </a:solidFill>
          </a:endParaRPr>
        </a:p>
      </xdr:txBody>
    </xdr:sp>
    <xdr:clientData/>
  </xdr:twoCellAnchor>
  <xdr:oneCellAnchor>
    <xdr:from>
      <xdr:col>12</xdr:col>
      <xdr:colOff>76200</xdr:colOff>
      <xdr:row>0</xdr:row>
      <xdr:rowOff>114300</xdr:rowOff>
    </xdr:from>
    <xdr:ext cx="1075690" cy="257175"/>
    <xdr:sp>
      <xdr:nvSpPr>
        <xdr:cNvPr id="7" name="Cuadro de texto 6"/>
        <xdr:cNvSpPr txBox="1"/>
      </xdr:nvSpPr>
      <xdr:spPr>
        <a:xfrm>
          <a:off x="7391400" y="114300"/>
          <a:ext cx="1075690" cy="2571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none" numCol="1" spcCol="0" rtlCol="0" fromWordArt="0" anchor="t" anchorCtr="0" forceAA="0" compatLnSpc="1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es-ES" altLang="en-US" sz="1000">
              <a:solidFill>
                <a:schemeClr val="bg1"/>
              </a:solidFill>
            </a:rPr>
            <a:t>VENTAS TOTALES</a:t>
          </a:r>
          <a:endParaRPr lang="es-ES" altLang="en-US" sz="10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355600</xdr:colOff>
      <xdr:row>0</xdr:row>
      <xdr:rowOff>98425</xdr:rowOff>
    </xdr:from>
    <xdr:ext cx="959485" cy="257175"/>
    <xdr:sp>
      <xdr:nvSpPr>
        <xdr:cNvPr id="8" name="Cuadro de texto 7"/>
        <xdr:cNvSpPr txBox="1"/>
      </xdr:nvSpPr>
      <xdr:spPr>
        <a:xfrm>
          <a:off x="8890000" y="98425"/>
          <a:ext cx="959485" cy="2571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none" numCol="1" spcCol="0" rtlCol="0" fromWordArt="0" anchor="t" anchorCtr="0" forceAA="0" compatLnSpc="1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es-ES" altLang="en-US" sz="1000">
              <a:solidFill>
                <a:schemeClr val="bg1"/>
              </a:solidFill>
            </a:rPr>
            <a:t>TOTAL COSTOS</a:t>
          </a:r>
          <a:endParaRPr lang="es-ES" altLang="en-US" sz="1000">
            <a:solidFill>
              <a:schemeClr val="bg1"/>
            </a:solidFill>
          </a:endParaRPr>
        </a:p>
      </xdr:txBody>
    </xdr:sp>
    <xdr:clientData/>
  </xdr:oneCellAnchor>
  <xdr:oneCellAnchor>
    <xdr:from>
      <xdr:col>16</xdr:col>
      <xdr:colOff>568325</xdr:colOff>
      <xdr:row>0</xdr:row>
      <xdr:rowOff>92075</xdr:rowOff>
    </xdr:from>
    <xdr:ext cx="732155" cy="290830"/>
    <xdr:sp>
      <xdr:nvSpPr>
        <xdr:cNvPr id="10" name="Cuadro de texto 9"/>
        <xdr:cNvSpPr txBox="1"/>
      </xdr:nvSpPr>
      <xdr:spPr>
        <a:xfrm>
          <a:off x="10321925" y="92075"/>
          <a:ext cx="732155" cy="2908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none" numCol="1" spcCol="0" rtlCol="0" fromWordArt="0" anchor="t" anchorCtr="0" forceAA="0" compatLnSpc="1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es-ES" altLang="en-US" sz="1200"/>
            <a:t>TASA ISV</a:t>
          </a:r>
          <a:endParaRPr lang="es-ES" altLang="en-US" sz="1200"/>
        </a:p>
      </xdr:txBody>
    </xdr:sp>
    <xdr:clientData/>
  </xdr:oneCellAnchor>
  <xdr:twoCellAnchor>
    <xdr:from>
      <xdr:col>9</xdr:col>
      <xdr:colOff>574675</xdr:colOff>
      <xdr:row>0</xdr:row>
      <xdr:rowOff>107950</xdr:rowOff>
    </xdr:from>
    <xdr:to>
      <xdr:col>11</xdr:col>
      <xdr:colOff>593725</xdr:colOff>
      <xdr:row>5</xdr:row>
      <xdr:rowOff>88900</xdr:rowOff>
    </xdr:to>
    <xdr:sp textlink="ER_dn1!$G$5">
      <xdr:nvSpPr>
        <xdr:cNvPr id="14" name="Rectángulo redondeado 13"/>
        <xdr:cNvSpPr/>
      </xdr:nvSpPr>
      <xdr:spPr>
        <a:xfrm>
          <a:off x="6061075" y="107950"/>
          <a:ext cx="1238250" cy="933450"/>
        </a:xfrm>
        <a:prstGeom prst="roundRect">
          <a:avLst/>
        </a:prstGeom>
        <a:solidFill>
          <a:srgbClr val="284432"/>
        </a:solidFill>
        <a:ln w="12700" cmpd="sng">
          <a:solidFill>
            <a:schemeClr val="tx1"/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s-ES" altLang="en-US" sz="1800">
              <a:solidFill>
                <a:schemeClr val="bg1"/>
              </a:solidFill>
            </a:rPr>
            <a:t>35,00%</a:t>
          </a:fld>
          <a:endParaRPr lang="es-ES" altLang="en-US" sz="1800">
            <a:solidFill>
              <a:schemeClr val="bg1"/>
            </a:solidFill>
          </a:endParaRPr>
        </a:p>
      </xdr:txBody>
    </xdr:sp>
    <xdr:clientData/>
  </xdr:twoCellAnchor>
  <xdr:oneCellAnchor>
    <xdr:from>
      <xdr:col>9</xdr:col>
      <xdr:colOff>584200</xdr:colOff>
      <xdr:row>0</xdr:row>
      <xdr:rowOff>117475</xdr:rowOff>
    </xdr:from>
    <xdr:ext cx="1052195" cy="257175"/>
    <xdr:sp>
      <xdr:nvSpPr>
        <xdr:cNvPr id="15" name="Cuadro de texto 14"/>
        <xdr:cNvSpPr txBox="1"/>
      </xdr:nvSpPr>
      <xdr:spPr>
        <a:xfrm>
          <a:off x="6070600" y="117475"/>
          <a:ext cx="1052195" cy="2571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none" numCol="1" spcCol="0" rtlCol="0" fromWordArt="0" anchor="t" anchorCtr="0" forceAA="0" compatLnSpc="1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es-ES" altLang="en-US" sz="1000">
              <a:solidFill>
                <a:schemeClr val="bg1"/>
              </a:solidFill>
            </a:rPr>
            <a:t>MARGEN BRUTO</a:t>
          </a:r>
          <a:endParaRPr lang="es-ES" altLang="en-US" sz="1000">
            <a:solidFill>
              <a:schemeClr val="bg1"/>
            </a:solidFill>
          </a:endParaRPr>
        </a:p>
      </xdr:txBody>
    </xdr:sp>
    <xdr:clientData/>
  </xdr:oneCellAnchor>
  <xdr:twoCellAnchor>
    <xdr:from>
      <xdr:col>10</xdr:col>
      <xdr:colOff>168910</xdr:colOff>
      <xdr:row>18</xdr:row>
      <xdr:rowOff>61595</xdr:rowOff>
    </xdr:from>
    <xdr:to>
      <xdr:col>19</xdr:col>
      <xdr:colOff>126365</xdr:colOff>
      <xdr:row>35</xdr:row>
      <xdr:rowOff>140335</xdr:rowOff>
    </xdr:to>
    <xdr:graphicFrame>
      <xdr:nvGraphicFramePr>
        <xdr:cNvPr id="16" name="Gráfico 15"/>
        <xdr:cNvGraphicFramePr/>
      </xdr:nvGraphicFramePr>
      <xdr:xfrm>
        <a:off x="6264910" y="3490595"/>
        <a:ext cx="5443855" cy="331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600075</xdr:colOff>
      <xdr:row>6</xdr:row>
      <xdr:rowOff>123825</xdr:rowOff>
    </xdr:from>
    <xdr:to>
      <xdr:col>13</xdr:col>
      <xdr:colOff>161925</xdr:colOff>
      <xdr:row>10</xdr:row>
      <xdr:rowOff>95250</xdr:rowOff>
    </xdr:to>
    <xdr:sp textlink="ER_dn1!$E$5">
      <xdr:nvSpPr>
        <xdr:cNvPr id="17" name="Terminador 16"/>
        <xdr:cNvSpPr/>
      </xdr:nvSpPr>
      <xdr:spPr>
        <a:xfrm>
          <a:off x="6086475" y="1266825"/>
          <a:ext cx="2000250" cy="733425"/>
        </a:xfrm>
        <a:prstGeom prst="flowChartTerminator">
          <a:avLst/>
        </a:prstGeom>
        <a:solidFill>
          <a:sysClr val="window" lastClr="FFFFFF"/>
        </a:solidFill>
        <a:ln w="12700" cmpd="sng">
          <a:solidFill>
            <a:schemeClr val="tx1"/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s-ES" altLang="en-US" sz="1800">
              <a:solidFill>
                <a:schemeClr val="tx1"/>
              </a:solidFill>
            </a:rPr>
            <a:t>7.284.744 </a:t>
          </a:fld>
          <a:endParaRPr lang="es-ES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12</xdr:col>
      <xdr:colOff>178435</xdr:colOff>
      <xdr:row>11</xdr:row>
      <xdr:rowOff>22860</xdr:rowOff>
    </xdr:from>
    <xdr:to>
      <xdr:col>14</xdr:col>
      <xdr:colOff>26035</xdr:colOff>
      <xdr:row>17</xdr:row>
      <xdr:rowOff>92710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Añ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3635" y="2118360"/>
              <a:ext cx="1066800" cy="1212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un segmento.
Los segmentos no se pueden usar en esta versión. Actualice a la versión más reciente de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80645</xdr:colOff>
      <xdr:row>10</xdr:row>
      <xdr:rowOff>174625</xdr:rowOff>
    </xdr:from>
    <xdr:to>
      <xdr:col>19</xdr:col>
      <xdr:colOff>118110</xdr:colOff>
      <xdr:row>17</xdr:row>
      <xdr:rowOff>128905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Nombre_Me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_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15045" y="2079625"/>
              <a:ext cx="3085465" cy="1287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un segmento.
Los segmentos no se pueden usar en esta versión. Actualice a la versión más reciente de WPS Office.</a:t>
              </a:r>
            </a:p>
          </xdr:txBody>
        </xdr:sp>
      </mc:Fallback>
    </mc:AlternateContent>
    <xdr:clientData/>
  </xdr:twoCellAnchor>
  <xdr:oneCellAnchor>
    <xdr:from>
      <xdr:col>10</xdr:col>
      <xdr:colOff>28575</xdr:colOff>
      <xdr:row>6</xdr:row>
      <xdr:rowOff>133350</xdr:rowOff>
    </xdr:from>
    <xdr:ext cx="980440" cy="257175"/>
    <xdr:sp>
      <xdr:nvSpPr>
        <xdr:cNvPr id="18" name="Cuadro de texto 17"/>
        <xdr:cNvSpPr txBox="1"/>
      </xdr:nvSpPr>
      <xdr:spPr>
        <a:xfrm>
          <a:off x="6124575" y="1276350"/>
          <a:ext cx="980440" cy="2571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none" numCol="1" spcCol="0" rtlCol="0" fromWordArt="0" anchor="t" anchorCtr="0" forceAA="0" compatLnSpc="1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es-ES" altLang="en-US" sz="1000"/>
            <a:t>UTILIDAD NETA</a:t>
          </a:r>
          <a:endParaRPr lang="es-ES" altLang="en-US" sz="1000"/>
        </a:p>
      </xdr:txBody>
    </xdr:sp>
    <xdr:clientData/>
  </xdr:oneCellAnchor>
  <xdr:twoCellAnchor>
    <xdr:from>
      <xdr:col>0</xdr:col>
      <xdr:colOff>193675</xdr:colOff>
      <xdr:row>19</xdr:row>
      <xdr:rowOff>172720</xdr:rowOff>
    </xdr:from>
    <xdr:to>
      <xdr:col>9</xdr:col>
      <xdr:colOff>534035</xdr:colOff>
      <xdr:row>33</xdr:row>
      <xdr:rowOff>59690</xdr:rowOff>
    </xdr:to>
    <xdr:graphicFrame>
      <xdr:nvGraphicFramePr>
        <xdr:cNvPr id="19" name="Gráfico 18"/>
        <xdr:cNvGraphicFramePr/>
      </xdr:nvGraphicFramePr>
      <xdr:xfrm>
        <a:off x="193675" y="3792220"/>
        <a:ext cx="5826760" cy="2553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260350</xdr:colOff>
      <xdr:row>6</xdr:row>
      <xdr:rowOff>107950</xdr:rowOff>
    </xdr:from>
    <xdr:to>
      <xdr:col>16</xdr:col>
      <xdr:colOff>488950</xdr:colOff>
      <xdr:row>10</xdr:row>
      <xdr:rowOff>79375</xdr:rowOff>
    </xdr:to>
    <xdr:sp textlink="ER_dn1!$J$13">
      <xdr:nvSpPr>
        <xdr:cNvPr id="23" name="Terminador 22"/>
        <xdr:cNvSpPr/>
      </xdr:nvSpPr>
      <xdr:spPr>
        <a:xfrm>
          <a:off x="8185150" y="1250950"/>
          <a:ext cx="2057400" cy="733425"/>
        </a:xfrm>
        <a:prstGeom prst="flowChartTerminator">
          <a:avLst/>
        </a:prstGeom>
        <a:solidFill>
          <a:schemeClr val="accent3">
            <a:lumMod val="50000"/>
          </a:schemeClr>
        </a:solidFill>
        <a:ln w="12700" cmpd="sng">
          <a:solidFill>
            <a:schemeClr val="tx1"/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s-ES" altLang="en-US" sz="1800">
              <a:solidFill>
                <a:schemeClr val="bg1"/>
              </a:solidFill>
            </a:rPr>
            <a:t>12,00%</a:t>
          </a:fld>
          <a:endParaRPr lang="es-ES" altLang="en-US" sz="1800">
            <a:solidFill>
              <a:schemeClr val="bg1"/>
            </a:solidFill>
          </a:endParaRPr>
        </a:p>
      </xdr:txBody>
    </xdr:sp>
    <xdr:clientData/>
  </xdr:twoCellAnchor>
  <xdr:oneCellAnchor>
    <xdr:from>
      <xdr:col>13</xdr:col>
      <xdr:colOff>307975</xdr:colOff>
      <xdr:row>6</xdr:row>
      <xdr:rowOff>107950</xdr:rowOff>
    </xdr:from>
    <xdr:ext cx="1543685" cy="257175"/>
    <xdr:sp>
      <xdr:nvSpPr>
        <xdr:cNvPr id="24" name="Cuadro de texto 23"/>
        <xdr:cNvSpPr txBox="1"/>
      </xdr:nvSpPr>
      <xdr:spPr>
        <a:xfrm>
          <a:off x="8232775" y="1250950"/>
          <a:ext cx="1543685" cy="2571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none" numCol="1" spcCol="0" rtlCol="0" fromWordArt="0" anchor="t" anchorCtr="0" forceAA="0" compatLnSpc="1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es-ES" altLang="en-US" sz="1000">
              <a:solidFill>
                <a:schemeClr val="bg1"/>
              </a:solidFill>
            </a:rPr>
            <a:t>% DE CAMBIO 2024 - 2025</a:t>
          </a:r>
          <a:endParaRPr lang="es-ES" altLang="en-US" sz="1000">
            <a:solidFill>
              <a:schemeClr val="bg1"/>
            </a:solidFill>
          </a:endParaRPr>
        </a:p>
      </xdr:txBody>
    </xdr:sp>
    <xdr:clientData/>
  </xdr:oneCellAnchor>
  <xdr:twoCellAnchor>
    <xdr:from>
      <xdr:col>17</xdr:col>
      <xdr:colOff>9525</xdr:colOff>
      <xdr:row>6</xdr:row>
      <xdr:rowOff>133985</xdr:rowOff>
    </xdr:from>
    <xdr:to>
      <xdr:col>19</xdr:col>
      <xdr:colOff>9525</xdr:colOff>
      <xdr:row>10</xdr:row>
      <xdr:rowOff>57150</xdr:rowOff>
    </xdr:to>
    <xdr:sp textlink="ER_dn1!$F$5">
      <xdr:nvSpPr>
        <xdr:cNvPr id="25" name="Rectángulo redondeado 24"/>
        <xdr:cNvSpPr/>
      </xdr:nvSpPr>
      <xdr:spPr>
        <a:xfrm>
          <a:off x="10372725" y="1276985"/>
          <a:ext cx="1219200" cy="685165"/>
        </a:xfrm>
        <a:prstGeom prst="roundRect">
          <a:avLst/>
        </a:prstGeom>
        <a:solidFill>
          <a:sysClr val="window" lastClr="FFFFFF"/>
        </a:solidFill>
        <a:ln w="12700" cmpd="sng">
          <a:solidFill>
            <a:schemeClr val="tx1"/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s-ES" altLang="en-US" sz="1800">
              <a:solidFill>
                <a:schemeClr val="tx1"/>
              </a:solidFill>
            </a:rPr>
            <a:t>11,75%</a:t>
          </a:fld>
          <a:endParaRPr lang="es-ES" altLang="en-US" sz="1800">
            <a:solidFill>
              <a:schemeClr val="tx1"/>
            </a:solidFill>
          </a:endParaRPr>
        </a:p>
      </xdr:txBody>
    </xdr:sp>
    <xdr:clientData/>
  </xdr:twoCellAnchor>
  <xdr:oneCellAnchor>
    <xdr:from>
      <xdr:col>16</xdr:col>
      <xdr:colOff>593725</xdr:colOff>
      <xdr:row>6</xdr:row>
      <xdr:rowOff>127000</xdr:rowOff>
    </xdr:from>
    <xdr:ext cx="976630" cy="257175"/>
    <xdr:sp>
      <xdr:nvSpPr>
        <xdr:cNvPr id="26" name="Cuadro de texto 25"/>
        <xdr:cNvSpPr txBox="1"/>
      </xdr:nvSpPr>
      <xdr:spPr>
        <a:xfrm>
          <a:off x="10347325" y="1270000"/>
          <a:ext cx="976630" cy="2571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none" numCol="1" spcCol="0" rtlCol="0" fromWordArt="0" anchor="t" anchorCtr="0" forceAA="0" compatLnSpc="1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es-ES" altLang="en-US" sz="1000"/>
            <a:t>MARGEN NETO</a:t>
          </a:r>
          <a:endParaRPr lang="es-ES" altLang="en-US" sz="1000"/>
        </a:p>
      </xdr:txBody>
    </xdr:sp>
    <xdr:clientData/>
  </xdr:oneCellAnchor>
  <xdr:oneCellAnchor>
    <xdr:from>
      <xdr:col>13</xdr:col>
      <xdr:colOff>146050</xdr:colOff>
      <xdr:row>18</xdr:row>
      <xdr:rowOff>69850</xdr:rowOff>
    </xdr:from>
    <xdr:ext cx="2129790" cy="323850"/>
    <xdr:sp>
      <xdr:nvSpPr>
        <xdr:cNvPr id="29" name="Cuadro de texto 28"/>
        <xdr:cNvSpPr txBox="1"/>
      </xdr:nvSpPr>
      <xdr:spPr>
        <a:xfrm>
          <a:off x="8070850" y="3498850"/>
          <a:ext cx="212979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none" numCol="1" spcCol="0" rtlCol="0" fromWordArt="0" anchor="t" anchorCtr="0" forceAA="0" compatLnSpc="1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es-ES" altLang="en-US" sz="1400">
              <a:solidFill>
                <a:schemeClr val="bg1"/>
              </a:solidFill>
            </a:rPr>
            <a:t>TOTAL VENTAS MoM y YoY</a:t>
          </a:r>
          <a:endParaRPr lang="es-ES" altLang="en-US" sz="14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412750</xdr:colOff>
      <xdr:row>19</xdr:row>
      <xdr:rowOff>1270</xdr:rowOff>
    </xdr:from>
    <xdr:ext cx="2032635" cy="323850"/>
    <xdr:sp>
      <xdr:nvSpPr>
        <xdr:cNvPr id="30" name="Cuadro de texto 29"/>
        <xdr:cNvSpPr txBox="1"/>
      </xdr:nvSpPr>
      <xdr:spPr>
        <a:xfrm>
          <a:off x="2241550" y="3620770"/>
          <a:ext cx="2032635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none" numCol="1" spcCol="0" rtlCol="0" fromWordArt="0" anchor="t" anchorCtr="0" forceAA="0" compatLnSpc="1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es-ES" altLang="en-US" sz="1400"/>
            <a:t>% DE UTILIDA NETA MoM</a:t>
          </a:r>
          <a:endParaRPr lang="es-ES" altLang="en-US" sz="1400"/>
        </a:p>
      </xdr:txBody>
    </xdr:sp>
    <xdr:clientData/>
  </xdr:oneCellAnchor>
  <xdr:oneCellAnchor>
    <xdr:from>
      <xdr:col>3</xdr:col>
      <xdr:colOff>231775</xdr:colOff>
      <xdr:row>3</xdr:row>
      <xdr:rowOff>9525</xdr:rowOff>
    </xdr:from>
    <xdr:ext cx="2171065" cy="323850"/>
    <xdr:sp>
      <xdr:nvSpPr>
        <xdr:cNvPr id="31" name="Cuadro de texto 30"/>
        <xdr:cNvSpPr txBox="1"/>
      </xdr:nvSpPr>
      <xdr:spPr>
        <a:xfrm>
          <a:off x="2060575" y="581025"/>
          <a:ext cx="2171065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none" numCol="1" spcCol="0" rtlCol="0" fromWordArt="0" anchor="t" anchorCtr="0" forceAA="0" compatLnSpc="1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es-ES" altLang="en-US" sz="1400"/>
            <a:t>GASTOS OPERATIVOS MoM</a:t>
          </a:r>
          <a:endParaRPr lang="es-ES" altLang="en-US" sz="1400"/>
        </a:p>
      </xdr:txBody>
    </xdr:sp>
    <xdr:clientData/>
  </xdr:oneCellAnchor>
  <xdr:twoCellAnchor>
    <xdr:from>
      <xdr:col>0</xdr:col>
      <xdr:colOff>92075</xdr:colOff>
      <xdr:row>0</xdr:row>
      <xdr:rowOff>136525</xdr:rowOff>
    </xdr:from>
    <xdr:to>
      <xdr:col>9</xdr:col>
      <xdr:colOff>482600</xdr:colOff>
      <xdr:row>2</xdr:row>
      <xdr:rowOff>147320</xdr:rowOff>
    </xdr:to>
    <xdr:sp>
      <xdr:nvSpPr>
        <xdr:cNvPr id="5" name="Rectángulo redondeado 4"/>
        <xdr:cNvSpPr/>
      </xdr:nvSpPr>
      <xdr:spPr>
        <a:xfrm>
          <a:off x="92075" y="136525"/>
          <a:ext cx="5876925" cy="391795"/>
        </a:xfrm>
        <a:prstGeom prst="roundRect">
          <a:avLst/>
        </a:prstGeom>
        <a:solidFill>
          <a:srgbClr val="284432"/>
        </a:solidFill>
        <a:ln w="12700" cmpd="sng">
          <a:solidFill>
            <a:schemeClr val="tx1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es-ES" altLang="en-US" sz="1800">
              <a:solidFill>
                <a:schemeClr val="bg1"/>
              </a:solidFill>
            </a:rPr>
            <a:t>DESEMPEÑO FINANCIERO - ESTADO RESULDADO</a:t>
          </a:r>
          <a:endParaRPr lang="es-ES" alt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79375</xdr:colOff>
      <xdr:row>3</xdr:row>
      <xdr:rowOff>169545</xdr:rowOff>
    </xdr:from>
    <xdr:to>
      <xdr:col>9</xdr:col>
      <xdr:colOff>485140</xdr:colOff>
      <xdr:row>17</xdr:row>
      <xdr:rowOff>186690</xdr:rowOff>
    </xdr:to>
    <xdr:graphicFrame>
      <xdr:nvGraphicFramePr>
        <xdr:cNvPr id="6" name="Gráfico 5"/>
        <xdr:cNvGraphicFramePr/>
      </xdr:nvGraphicFramePr>
      <xdr:xfrm>
        <a:off x="79375" y="741045"/>
        <a:ext cx="5892165" cy="2684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25400</xdr:colOff>
      <xdr:row>11</xdr:row>
      <xdr:rowOff>92710</xdr:rowOff>
    </xdr:from>
    <xdr:to>
      <xdr:col>12</xdr:col>
      <xdr:colOff>141605</xdr:colOff>
      <xdr:row>16</xdr:row>
      <xdr:rowOff>52705</xdr:rowOff>
    </xdr:to>
    <xdr:sp textlink="ER_dn1!$H$5">
      <xdr:nvSpPr>
        <xdr:cNvPr id="32" name="Rectángulo redondeado 31"/>
        <xdr:cNvSpPr/>
      </xdr:nvSpPr>
      <xdr:spPr>
        <a:xfrm>
          <a:off x="6121400" y="2188210"/>
          <a:ext cx="1335405" cy="912495"/>
        </a:xfrm>
        <a:prstGeom prst="roundRect">
          <a:avLst/>
        </a:prstGeom>
        <a:solidFill>
          <a:srgbClr val="284432"/>
        </a:solidFill>
        <a:ln w="12700" cmpd="sng">
          <a:solidFill>
            <a:schemeClr val="tx1"/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s-ES" altLang="en-US" sz="1800">
              <a:solidFill>
                <a:schemeClr val="bg1"/>
              </a:solidFill>
            </a:rPr>
            <a:t>20,00%</a:t>
          </a:fld>
          <a:endParaRPr lang="es-ES" altLang="en-US" sz="1800">
            <a:solidFill>
              <a:schemeClr val="bg1"/>
            </a:solidFill>
          </a:endParaRPr>
        </a:p>
      </xdr:txBody>
    </xdr:sp>
    <xdr:clientData/>
  </xdr:twoCellAnchor>
  <xdr:oneCellAnchor>
    <xdr:from>
      <xdr:col>10</xdr:col>
      <xdr:colOff>15875</xdr:colOff>
      <xdr:row>11</xdr:row>
      <xdr:rowOff>73025</xdr:rowOff>
    </xdr:from>
    <xdr:ext cx="1290320" cy="257175"/>
    <xdr:sp>
      <xdr:nvSpPr>
        <xdr:cNvPr id="33" name="Cuadro de texto 32"/>
        <xdr:cNvSpPr txBox="1"/>
      </xdr:nvSpPr>
      <xdr:spPr>
        <a:xfrm>
          <a:off x="6111875" y="2168525"/>
          <a:ext cx="1290320" cy="2571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none" numCol="1" spcCol="0" rtlCol="0" fromWordArt="0" anchor="t" anchorCtr="0" forceAA="0" compatLnSpc="1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es-ES" altLang="en-US" sz="1000">
              <a:solidFill>
                <a:schemeClr val="bg1"/>
              </a:solidFill>
            </a:rPr>
            <a:t>MARGEN OPERATIVO</a:t>
          </a:r>
          <a:endParaRPr lang="es-ES" altLang="en-US" sz="1000">
            <a:solidFill>
              <a:schemeClr val="bg1"/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5.6195601852" refreshedBy="Anderzon" recordCount="24">
  <cacheSource type="worksheet">
    <worksheetSource ref="A1:A1" sheet="ER"/>
  </cacheSource>
  <cacheFields count="16">
    <cacheField name="Año" numFmtId="0">
      <sharedItems containsSemiMixedTypes="0" containsString="0" containsNumber="1" containsInteger="1" minValue="2024" maxValue="2025" count="2">
        <n v="2024"/>
        <n v="2025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Nombre_Mes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Ventas" numFmtId="0">
      <sharedItems containsSemiMixedTypes="0" containsString="0" containsNumber="1" containsInteger="1" minValue="1850000" maxValue="3472000" count="24">
        <n v="1850000"/>
        <n v="1950000"/>
        <n v="2100000"/>
        <n v="2250000"/>
        <n v="2400000"/>
        <n v="2550000"/>
        <n v="2450000"/>
        <n v="2350000"/>
        <n v="2600000"/>
        <n v="2750000"/>
        <n v="2900000"/>
        <n v="3100000"/>
        <n v="2072000"/>
        <n v="2184000"/>
        <n v="2352000"/>
        <n v="2520000"/>
        <n v="2688000"/>
        <n v="2856000"/>
        <n v="2744000"/>
        <n v="2632000"/>
        <n v="2912000"/>
        <n v="3080000"/>
        <n v="3248000"/>
        <n v="3472000"/>
      </sharedItems>
    </cacheField>
    <cacheField name="Costos" numFmtId="0">
      <sharedItems containsSemiMixedTypes="0" containsString="0" containsNumber="1" containsInteger="1" minValue="1202500" maxValue="2256800" count="24">
        <n v="1202500"/>
        <n v="1267500"/>
        <n v="1365000"/>
        <n v="1462500"/>
        <n v="1560000"/>
        <n v="1657500"/>
        <n v="1592500"/>
        <n v="1527500"/>
        <n v="1690000"/>
        <n v="1787500"/>
        <n v="1885000"/>
        <n v="2015000"/>
        <n v="1346800"/>
        <n v="1419600"/>
        <n v="1528800"/>
        <n v="1638000"/>
        <n v="1747200"/>
        <n v="1856400"/>
        <n v="1783600"/>
        <n v="1710800"/>
        <n v="1892800"/>
        <n v="2002000"/>
        <n v="2111200"/>
        <n v="2256800"/>
      </sharedItems>
    </cacheField>
    <cacheField name="Gastos_Operativos" numFmtId="0">
      <sharedItems containsSemiMixedTypes="0" containsString="0" containsNumber="1" containsInteger="1" minValue="370000" maxValue="694400" count="24">
        <n v="370000"/>
        <n v="390000"/>
        <n v="420000"/>
        <n v="450000"/>
        <n v="480000"/>
        <n v="510000"/>
        <n v="490000"/>
        <n v="470000"/>
        <n v="520000"/>
        <n v="550000"/>
        <n v="580000"/>
        <n v="620000"/>
        <n v="414400"/>
        <n v="436800"/>
        <n v="470400"/>
        <n v="504000"/>
        <n v="537600"/>
        <n v="571200"/>
        <n v="548800"/>
        <n v="526400"/>
        <n v="582400"/>
        <n v="616000"/>
        <n v="649600"/>
        <n v="694400"/>
      </sharedItems>
    </cacheField>
    <cacheField name="Otros_Ingresos_Gastos" numFmtId="0">
      <sharedItems containsSemiMixedTypes="0" containsString="0" containsNumber="1" containsInteger="1" minValue="-28000" maxValue="84000" count="22">
        <n v="-25000"/>
        <n v="15000"/>
        <n v="30000"/>
        <n v="20000"/>
        <n v="35000"/>
        <n v="40000"/>
        <n v="25000"/>
        <n v="45000"/>
        <n v="50000"/>
        <n v="60000"/>
        <n v="75000"/>
        <n v="-28000"/>
        <n v="16800"/>
        <n v="33600"/>
        <n v="22400"/>
        <n v="39200"/>
        <n v="44800"/>
        <n v="28000"/>
        <n v="50400"/>
        <n v="56000"/>
        <n v="67200"/>
        <n v="84000"/>
      </sharedItems>
    </cacheField>
    <cacheField name="Impuestos_Tasa" numFmtId="0">
      <sharedItems containsSemiMixedTypes="0" containsString="0" containsNumber="1" minValue="0.28" maxValue="0.28" count="1">
        <n v="0.28"/>
      </sharedItems>
    </cacheField>
    <cacheField name="Utilidad_bruta" numFmtId="0">
      <sharedItems containsSemiMixedTypes="0" containsString="0" containsNumber="1" containsInteger="1" minValue="647500" maxValue="1215200" count="24">
        <n v="647500"/>
        <n v="682500"/>
        <n v="735000"/>
        <n v="787500"/>
        <n v="840000"/>
        <n v="892500"/>
        <n v="857500"/>
        <n v="822500"/>
        <n v="910000"/>
        <n v="962500"/>
        <n v="1015000"/>
        <n v="1085000"/>
        <n v="725200"/>
        <n v="764400"/>
        <n v="823200"/>
        <n v="882000"/>
        <n v="940800"/>
        <n v="999600"/>
        <n v="960400"/>
        <n v="921200"/>
        <n v="1019200"/>
        <n v="1078000"/>
        <n v="1136800"/>
        <n v="1215200"/>
      </sharedItems>
    </cacheField>
    <cacheField name="Utilidad_operativa" numFmtId="0">
      <sharedItems containsSemiMixedTypes="0" containsString="0" containsNumber="1" containsInteger="1" minValue="277500" maxValue="520800" count="24">
        <n v="277500"/>
        <n v="292500"/>
        <n v="315000"/>
        <n v="337500"/>
        <n v="360000"/>
        <n v="382500"/>
        <n v="367500"/>
        <n v="352500"/>
        <n v="390000"/>
        <n v="412500"/>
        <n v="435000"/>
        <n v="465000"/>
        <n v="310800"/>
        <n v="327600"/>
        <n v="352800"/>
        <n v="378000"/>
        <n v="403200"/>
        <n v="428400"/>
        <n v="411600"/>
        <n v="394800"/>
        <n v="436800"/>
        <n v="462000"/>
        <n v="487200"/>
        <n v="520800"/>
      </sharedItems>
    </cacheField>
    <cacheField name="Utilida_anteimpuestos" numFmtId="0">
      <sharedItems containsSemiMixedTypes="0" containsString="0" containsNumber="1" containsInteger="1" minValue="252500" maxValue="604800" count="24">
        <n v="252500"/>
        <n v="307500"/>
        <n v="345000"/>
        <n v="357500"/>
        <n v="395000"/>
        <n v="422500"/>
        <n v="392500"/>
        <n v="367500"/>
        <n v="435000"/>
        <n v="462500"/>
        <n v="495000"/>
        <n v="540000"/>
        <n v="282800"/>
        <n v="344400"/>
        <n v="386400"/>
        <n v="400400"/>
        <n v="442400"/>
        <n v="473200"/>
        <n v="439600"/>
        <n v="411600"/>
        <n v="487200"/>
        <n v="518000"/>
        <n v="554400"/>
        <n v="604800"/>
      </sharedItems>
    </cacheField>
    <cacheField name="ISV" numFmtId="0">
      <sharedItems containsSemiMixedTypes="0" containsString="0" containsNumber="1" containsInteger="1" minValue="70700" maxValue="169344" count="24">
        <n v="70700"/>
        <n v="86100"/>
        <n v="96600"/>
        <n v="100100"/>
        <n v="110600"/>
        <n v="118300"/>
        <n v="109900"/>
        <n v="102900"/>
        <n v="121800"/>
        <n v="129500"/>
        <n v="138600"/>
        <n v="151200"/>
        <n v="79184"/>
        <n v="96432"/>
        <n v="108192"/>
        <n v="112112"/>
        <n v="123872"/>
        <n v="132496"/>
        <n v="123088"/>
        <n v="115248"/>
        <n v="136416"/>
        <n v="145040"/>
        <n v="155232"/>
        <n v="169344"/>
      </sharedItems>
    </cacheField>
    <cacheField name="Utilidad neta" numFmtId="0">
      <sharedItems containsSemiMixedTypes="0" containsString="0" containsNumber="1" containsInteger="1" minValue="181800" maxValue="435456" count="24">
        <n v="181800"/>
        <n v="221400"/>
        <n v="248400"/>
        <n v="257400"/>
        <n v="284400"/>
        <n v="304200"/>
        <n v="282600"/>
        <n v="264600"/>
        <n v="313200"/>
        <n v="333000"/>
        <n v="356400"/>
        <n v="388800"/>
        <n v="203616"/>
        <n v="247968"/>
        <n v="278208"/>
        <n v="288288"/>
        <n v="318528"/>
        <n v="340704"/>
        <n v="316512"/>
        <n v="296352"/>
        <n v="350784"/>
        <n v="372960"/>
        <n v="399168"/>
        <n v="435456"/>
      </sharedItems>
    </cacheField>
    <cacheField name="margen_neto" numFmtId="0" formula="('Utilidad neta'/Ventas)" databaseField="0"/>
    <cacheField name="margen_bruto" numFmtId="0" formula="Utilidad_bruta/Ventas" databaseField="0"/>
    <cacheField name="MARGEN_OPERATIVO" numFmtId="0" formula="Gastos_Operativos/Ventas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0"/>
    <x v="1"/>
    <x v="1"/>
    <x v="1"/>
    <x v="1"/>
    <x v="1"/>
  </r>
  <r>
    <x v="0"/>
    <x v="2"/>
    <x v="2"/>
    <x v="2"/>
    <x v="2"/>
    <x v="2"/>
    <x v="2"/>
    <x v="0"/>
    <x v="2"/>
    <x v="2"/>
    <x v="2"/>
    <x v="2"/>
    <x v="2"/>
  </r>
  <r>
    <x v="0"/>
    <x v="3"/>
    <x v="3"/>
    <x v="3"/>
    <x v="3"/>
    <x v="3"/>
    <x v="3"/>
    <x v="0"/>
    <x v="3"/>
    <x v="3"/>
    <x v="3"/>
    <x v="3"/>
    <x v="3"/>
  </r>
  <r>
    <x v="0"/>
    <x v="4"/>
    <x v="4"/>
    <x v="4"/>
    <x v="4"/>
    <x v="4"/>
    <x v="4"/>
    <x v="0"/>
    <x v="4"/>
    <x v="4"/>
    <x v="4"/>
    <x v="4"/>
    <x v="4"/>
  </r>
  <r>
    <x v="0"/>
    <x v="5"/>
    <x v="5"/>
    <x v="5"/>
    <x v="5"/>
    <x v="5"/>
    <x v="5"/>
    <x v="0"/>
    <x v="5"/>
    <x v="5"/>
    <x v="5"/>
    <x v="5"/>
    <x v="5"/>
  </r>
  <r>
    <x v="0"/>
    <x v="6"/>
    <x v="6"/>
    <x v="6"/>
    <x v="6"/>
    <x v="6"/>
    <x v="6"/>
    <x v="0"/>
    <x v="6"/>
    <x v="6"/>
    <x v="6"/>
    <x v="6"/>
    <x v="6"/>
  </r>
  <r>
    <x v="0"/>
    <x v="7"/>
    <x v="7"/>
    <x v="7"/>
    <x v="7"/>
    <x v="7"/>
    <x v="1"/>
    <x v="0"/>
    <x v="7"/>
    <x v="7"/>
    <x v="7"/>
    <x v="7"/>
    <x v="7"/>
  </r>
  <r>
    <x v="0"/>
    <x v="8"/>
    <x v="8"/>
    <x v="8"/>
    <x v="8"/>
    <x v="8"/>
    <x v="7"/>
    <x v="0"/>
    <x v="8"/>
    <x v="8"/>
    <x v="8"/>
    <x v="8"/>
    <x v="8"/>
  </r>
  <r>
    <x v="0"/>
    <x v="9"/>
    <x v="9"/>
    <x v="9"/>
    <x v="9"/>
    <x v="9"/>
    <x v="8"/>
    <x v="0"/>
    <x v="9"/>
    <x v="9"/>
    <x v="9"/>
    <x v="9"/>
    <x v="9"/>
  </r>
  <r>
    <x v="0"/>
    <x v="10"/>
    <x v="10"/>
    <x v="10"/>
    <x v="10"/>
    <x v="10"/>
    <x v="9"/>
    <x v="0"/>
    <x v="10"/>
    <x v="10"/>
    <x v="10"/>
    <x v="10"/>
    <x v="10"/>
  </r>
  <r>
    <x v="0"/>
    <x v="11"/>
    <x v="11"/>
    <x v="11"/>
    <x v="11"/>
    <x v="11"/>
    <x v="10"/>
    <x v="0"/>
    <x v="11"/>
    <x v="11"/>
    <x v="11"/>
    <x v="11"/>
    <x v="11"/>
  </r>
  <r>
    <x v="1"/>
    <x v="0"/>
    <x v="0"/>
    <x v="12"/>
    <x v="12"/>
    <x v="12"/>
    <x v="11"/>
    <x v="0"/>
    <x v="12"/>
    <x v="12"/>
    <x v="12"/>
    <x v="12"/>
    <x v="12"/>
  </r>
  <r>
    <x v="1"/>
    <x v="1"/>
    <x v="1"/>
    <x v="13"/>
    <x v="13"/>
    <x v="13"/>
    <x v="12"/>
    <x v="0"/>
    <x v="13"/>
    <x v="13"/>
    <x v="13"/>
    <x v="13"/>
    <x v="13"/>
  </r>
  <r>
    <x v="1"/>
    <x v="2"/>
    <x v="2"/>
    <x v="14"/>
    <x v="14"/>
    <x v="14"/>
    <x v="13"/>
    <x v="0"/>
    <x v="14"/>
    <x v="14"/>
    <x v="14"/>
    <x v="14"/>
    <x v="14"/>
  </r>
  <r>
    <x v="1"/>
    <x v="3"/>
    <x v="3"/>
    <x v="15"/>
    <x v="15"/>
    <x v="15"/>
    <x v="14"/>
    <x v="0"/>
    <x v="15"/>
    <x v="15"/>
    <x v="15"/>
    <x v="15"/>
    <x v="15"/>
  </r>
  <r>
    <x v="1"/>
    <x v="4"/>
    <x v="4"/>
    <x v="16"/>
    <x v="16"/>
    <x v="16"/>
    <x v="15"/>
    <x v="0"/>
    <x v="16"/>
    <x v="16"/>
    <x v="16"/>
    <x v="16"/>
    <x v="16"/>
  </r>
  <r>
    <x v="1"/>
    <x v="5"/>
    <x v="5"/>
    <x v="17"/>
    <x v="17"/>
    <x v="17"/>
    <x v="16"/>
    <x v="0"/>
    <x v="17"/>
    <x v="17"/>
    <x v="17"/>
    <x v="17"/>
    <x v="17"/>
  </r>
  <r>
    <x v="1"/>
    <x v="6"/>
    <x v="6"/>
    <x v="18"/>
    <x v="18"/>
    <x v="18"/>
    <x v="17"/>
    <x v="0"/>
    <x v="18"/>
    <x v="18"/>
    <x v="18"/>
    <x v="18"/>
    <x v="18"/>
  </r>
  <r>
    <x v="1"/>
    <x v="7"/>
    <x v="7"/>
    <x v="19"/>
    <x v="19"/>
    <x v="19"/>
    <x v="12"/>
    <x v="0"/>
    <x v="19"/>
    <x v="19"/>
    <x v="19"/>
    <x v="19"/>
    <x v="19"/>
  </r>
  <r>
    <x v="1"/>
    <x v="8"/>
    <x v="8"/>
    <x v="20"/>
    <x v="20"/>
    <x v="20"/>
    <x v="18"/>
    <x v="0"/>
    <x v="20"/>
    <x v="20"/>
    <x v="20"/>
    <x v="20"/>
    <x v="20"/>
  </r>
  <r>
    <x v="1"/>
    <x v="9"/>
    <x v="9"/>
    <x v="21"/>
    <x v="21"/>
    <x v="21"/>
    <x v="19"/>
    <x v="0"/>
    <x v="21"/>
    <x v="21"/>
    <x v="21"/>
    <x v="21"/>
    <x v="21"/>
  </r>
  <r>
    <x v="1"/>
    <x v="10"/>
    <x v="10"/>
    <x v="22"/>
    <x v="22"/>
    <x v="22"/>
    <x v="20"/>
    <x v="0"/>
    <x v="22"/>
    <x v="22"/>
    <x v="22"/>
    <x v="22"/>
    <x v="22"/>
  </r>
  <r>
    <x v="1"/>
    <x v="11"/>
    <x v="11"/>
    <x v="23"/>
    <x v="23"/>
    <x v="23"/>
    <x v="21"/>
    <x v="0"/>
    <x v="23"/>
    <x v="23"/>
    <x v="23"/>
    <x v="23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ER_dn1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A4:H5" firstHeaderRow="0" firstDataRow="1" firstDataCol="0"/>
  <pivotFields count="16">
    <pivotField compact="0" multipleItemSelectionAllowed="1" showAll="0">
      <items count="3">
        <item x="0"/>
        <item x="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3"/>
        <item x="7"/>
        <item x="11"/>
        <item x="0"/>
        <item x="1"/>
        <item x="6"/>
        <item x="5"/>
        <item x="2"/>
        <item x="4"/>
        <item x="10"/>
        <item x="9"/>
        <item x="8"/>
        <item t="default"/>
      </items>
    </pivotField>
    <pivotField dataField="1"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dataField="1"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3">
        <item x="11"/>
        <item x="0"/>
        <item x="1"/>
        <item x="12"/>
        <item x="3"/>
        <item x="14"/>
        <item x="6"/>
        <item x="17"/>
        <item x="2"/>
        <item x="13"/>
        <item x="4"/>
        <item x="15"/>
        <item x="5"/>
        <item x="16"/>
        <item x="7"/>
        <item x="8"/>
        <item x="18"/>
        <item x="19"/>
        <item x="9"/>
        <item x="20"/>
        <item x="10"/>
        <item x="21"/>
        <item t="default"/>
      </items>
    </pivotField>
    <pivotField dataField="1" compact="0" showAll="0">
      <items count="2">
        <item x="0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5">
        <item x="0"/>
        <item x="12"/>
        <item x="1"/>
        <item x="13"/>
        <item x="2"/>
        <item x="3"/>
        <item x="7"/>
        <item x="14"/>
        <item x="6"/>
        <item x="4"/>
        <item x="15"/>
        <item x="19"/>
        <item x="5"/>
        <item x="8"/>
        <item x="18"/>
        <item x="16"/>
        <item x="9"/>
        <item x="17"/>
        <item x="20"/>
        <item x="10"/>
        <item x="21"/>
        <item x="11"/>
        <item x="22"/>
        <item x="23"/>
        <item t="default"/>
      </items>
    </pivotField>
    <pivotField compact="0" showAll="0">
      <items count="25">
        <item x="0"/>
        <item x="12"/>
        <item x="1"/>
        <item x="13"/>
        <item x="2"/>
        <item x="3"/>
        <item x="7"/>
        <item x="14"/>
        <item x="6"/>
        <item x="4"/>
        <item x="15"/>
        <item x="19"/>
        <item x="5"/>
        <item x="8"/>
        <item x="18"/>
        <item x="16"/>
        <item x="9"/>
        <item x="17"/>
        <item x="20"/>
        <item x="10"/>
        <item x="21"/>
        <item x="11"/>
        <item x="22"/>
        <item x="23"/>
        <item t="default"/>
      </items>
    </pivotField>
    <pivotField dataField="1" compact="0" showAll="0">
      <items count="25">
        <item x="0"/>
        <item x="12"/>
        <item x="1"/>
        <item x="13"/>
        <item x="2"/>
        <item x="3"/>
        <item x="7"/>
        <item x="14"/>
        <item x="6"/>
        <item x="4"/>
        <item x="15"/>
        <item x="19"/>
        <item x="5"/>
        <item x="8"/>
        <item x="18"/>
        <item x="16"/>
        <item x="9"/>
        <item x="17"/>
        <item x="20"/>
        <item x="10"/>
        <item x="21"/>
        <item x="11"/>
        <item x="22"/>
        <item x="23"/>
        <item t="default"/>
      </items>
    </pivotField>
    <pivotField dataField="1" dragToCol="0" dragToPage="0" dragToRow="0" compact="0" showAll="0"/>
    <pivotField dataField="1" dragToCol="0" dragToPage="0" dragToRow="0" compact="0" showAll="0"/>
    <pivotField dataField="1" dragToCol="0" dragToPage="0" dragToRow="0" compact="0" showAll="0"/>
  </pivotFields>
  <rowItems count="1">
    <i/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a de Ventas" fld="3" baseField="0" baseItem="0" numFmtId="178"/>
    <dataField name="Suma de Costos" fld="4" baseField="0" baseItem="0" numFmtId="178"/>
    <dataField name="Máximo de Impuestos_Tasa" fld="7" subtotal="max" baseField="0" baseItem="0" numFmtId="10"/>
    <dataField name="Promedio de Ventas" fld="3" subtotal="average" baseField="0" baseItem="0" numFmtId="178"/>
    <dataField name="Suma de Utilidad neta" fld="12" baseField="0" baseItem="0" numFmtId="178"/>
    <dataField name="Suma de margen_neto" fld="13" baseField="0" baseItem="0" numFmtId="10"/>
    <dataField name="Suma de margen_bruto" fld="14" baseField="0" baseItem="0" numFmtId="10"/>
    <dataField name="Suma de MARGEN_OPERATIVO" fld="15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VentasXmes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A11:D25" firstHeaderRow="1" firstDataRow="2" firstDataCol="1"/>
  <pivotFields count="16">
    <pivotField axis="axisCol" compact="0" showAll="0">
      <items count="3">
        <item x="0"/>
        <item x="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3">
        <item x="11"/>
        <item x="0"/>
        <item x="1"/>
        <item x="12"/>
        <item x="3"/>
        <item x="14"/>
        <item x="6"/>
        <item x="17"/>
        <item x="2"/>
        <item x="13"/>
        <item x="4"/>
        <item x="15"/>
        <item x="5"/>
        <item x="16"/>
        <item x="7"/>
        <item x="8"/>
        <item x="18"/>
        <item x="19"/>
        <item x="9"/>
        <item x="20"/>
        <item x="10"/>
        <item x="21"/>
        <item t="default"/>
      </items>
    </pivotField>
    <pivotField compact="0" showAll="0">
      <items count="2">
        <item x="0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5">
        <item x="0"/>
        <item x="12"/>
        <item x="1"/>
        <item x="13"/>
        <item x="2"/>
        <item x="3"/>
        <item x="7"/>
        <item x="14"/>
        <item x="6"/>
        <item x="4"/>
        <item x="15"/>
        <item x="19"/>
        <item x="5"/>
        <item x="8"/>
        <item x="18"/>
        <item x="16"/>
        <item x="9"/>
        <item x="17"/>
        <item x="20"/>
        <item x="10"/>
        <item x="21"/>
        <item x="11"/>
        <item x="22"/>
        <item x="23"/>
        <item t="default"/>
      </items>
    </pivotField>
    <pivotField compact="0" showAll="0">
      <items count="25">
        <item x="0"/>
        <item x="12"/>
        <item x="1"/>
        <item x="13"/>
        <item x="2"/>
        <item x="3"/>
        <item x="7"/>
        <item x="14"/>
        <item x="6"/>
        <item x="4"/>
        <item x="15"/>
        <item x="19"/>
        <item x="5"/>
        <item x="8"/>
        <item x="18"/>
        <item x="16"/>
        <item x="9"/>
        <item x="17"/>
        <item x="20"/>
        <item x="10"/>
        <item x="21"/>
        <item x="11"/>
        <item x="22"/>
        <item x="23"/>
        <item t="default"/>
      </items>
    </pivotField>
    <pivotField compact="0" showAll="0">
      <items count="25">
        <item x="0"/>
        <item x="12"/>
        <item x="1"/>
        <item x="13"/>
        <item x="2"/>
        <item x="3"/>
        <item x="7"/>
        <item x="14"/>
        <item x="6"/>
        <item x="4"/>
        <item x="15"/>
        <item x="19"/>
        <item x="5"/>
        <item x="8"/>
        <item x="18"/>
        <item x="16"/>
        <item x="9"/>
        <item x="17"/>
        <item x="20"/>
        <item x="10"/>
        <item x="21"/>
        <item x="11"/>
        <item x="22"/>
        <item x="23"/>
        <item t="default"/>
      </items>
    </pivotField>
    <pivotField dragToCol="0" dragToPage="0" dragToRow="0" compact="0" showAll="0"/>
    <pivotField dragToCol="0" dragToPage="0" dragToRow="0" compact="0" showAll="0"/>
    <pivotField dragToCol="0" dragToPage="0" dragToRow="0" compact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a de Ventas" fld="3" baseField="0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 _x000a_dinámica1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6">
  <location ref="F11:G24" firstHeaderRow="1" firstDataRow="1" firstDataCol="1"/>
  <pivotFields count="16">
    <pivotField compact="0" showAll="0">
      <items count="3">
        <item x="0"/>
        <item x="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3">
        <item x="11"/>
        <item x="0"/>
        <item x="1"/>
        <item x="12"/>
        <item x="3"/>
        <item x="14"/>
        <item x="6"/>
        <item x="17"/>
        <item x="2"/>
        <item x="13"/>
        <item x="4"/>
        <item x="15"/>
        <item x="5"/>
        <item x="16"/>
        <item x="7"/>
        <item x="8"/>
        <item x="18"/>
        <item x="19"/>
        <item x="9"/>
        <item x="20"/>
        <item x="10"/>
        <item x="21"/>
        <item t="default"/>
      </items>
    </pivotField>
    <pivotField compact="0" showAll="0">
      <items count="2">
        <item x="0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5">
        <item x="0"/>
        <item x="12"/>
        <item x="1"/>
        <item x="13"/>
        <item x="2"/>
        <item x="3"/>
        <item x="7"/>
        <item x="14"/>
        <item x="6"/>
        <item x="4"/>
        <item x="15"/>
        <item x="19"/>
        <item x="5"/>
        <item x="8"/>
        <item x="18"/>
        <item x="16"/>
        <item x="9"/>
        <item x="17"/>
        <item x="20"/>
        <item x="10"/>
        <item x="21"/>
        <item x="11"/>
        <item x="22"/>
        <item x="23"/>
        <item t="default"/>
      </items>
    </pivotField>
    <pivotField compact="0" showAll="0">
      <items count="25">
        <item x="0"/>
        <item x="12"/>
        <item x="1"/>
        <item x="13"/>
        <item x="2"/>
        <item x="3"/>
        <item x="7"/>
        <item x="14"/>
        <item x="6"/>
        <item x="4"/>
        <item x="15"/>
        <item x="19"/>
        <item x="5"/>
        <item x="8"/>
        <item x="18"/>
        <item x="16"/>
        <item x="9"/>
        <item x="17"/>
        <item x="20"/>
        <item x="10"/>
        <item x="21"/>
        <item x="11"/>
        <item x="22"/>
        <item x="23"/>
        <item t="default"/>
      </items>
    </pivotField>
    <pivotField dataField="1" compact="0" showAll="0">
      <items count="25">
        <item x="0"/>
        <item x="12"/>
        <item x="1"/>
        <item x="13"/>
        <item x="2"/>
        <item x="3"/>
        <item x="7"/>
        <item x="14"/>
        <item x="6"/>
        <item x="4"/>
        <item x="15"/>
        <item x="19"/>
        <item x="5"/>
        <item x="8"/>
        <item x="18"/>
        <item x="16"/>
        <item x="9"/>
        <item x="17"/>
        <item x="20"/>
        <item x="10"/>
        <item x="21"/>
        <item x="11"/>
        <item x="22"/>
        <item x="23"/>
        <item t="default"/>
      </items>
    </pivotField>
    <pivotField dragToCol="0" dragToPage="0" dragToRow="0" compact="0" showAll="0"/>
    <pivotField dragToCol="0" dragToPage="0" dragToRow="0" compact="0" showAll="0"/>
    <pivotField dragToCol="0" dragToPage="0" dragToRow="0" compact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Utilidad neta" fld="12" showDataAs="percentDiff" baseField="2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 _x000a_dinámica2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I11:J14" firstHeaderRow="1" firstDataRow="1" firstDataCol="1"/>
  <pivotFields count="16">
    <pivotField axis="axisRow" compact="0" showAll="0">
      <items count="3">
        <item x="0"/>
        <item x="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3"/>
        <item x="7"/>
        <item x="11"/>
        <item x="0"/>
        <item x="1"/>
        <item x="6"/>
        <item x="5"/>
        <item x="2"/>
        <item x="4"/>
        <item x="10"/>
        <item x="9"/>
        <item x="8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3">
        <item x="11"/>
        <item x="0"/>
        <item x="1"/>
        <item x="12"/>
        <item x="3"/>
        <item x="14"/>
        <item x="6"/>
        <item x="17"/>
        <item x="2"/>
        <item x="13"/>
        <item x="4"/>
        <item x="15"/>
        <item x="5"/>
        <item x="16"/>
        <item x="7"/>
        <item x="8"/>
        <item x="18"/>
        <item x="19"/>
        <item x="9"/>
        <item x="20"/>
        <item x="10"/>
        <item x="21"/>
        <item t="default"/>
      </items>
    </pivotField>
    <pivotField compact="0" showAll="0">
      <items count="2">
        <item x="0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5">
        <item x="0"/>
        <item x="12"/>
        <item x="1"/>
        <item x="13"/>
        <item x="2"/>
        <item x="3"/>
        <item x="7"/>
        <item x="14"/>
        <item x="6"/>
        <item x="4"/>
        <item x="15"/>
        <item x="19"/>
        <item x="5"/>
        <item x="8"/>
        <item x="18"/>
        <item x="16"/>
        <item x="9"/>
        <item x="17"/>
        <item x="20"/>
        <item x="10"/>
        <item x="21"/>
        <item x="11"/>
        <item x="22"/>
        <item x="23"/>
        <item t="default"/>
      </items>
    </pivotField>
    <pivotField compact="0" showAll="0">
      <items count="25">
        <item x="0"/>
        <item x="12"/>
        <item x="1"/>
        <item x="13"/>
        <item x="2"/>
        <item x="3"/>
        <item x="7"/>
        <item x="14"/>
        <item x="6"/>
        <item x="4"/>
        <item x="15"/>
        <item x="19"/>
        <item x="5"/>
        <item x="8"/>
        <item x="18"/>
        <item x="16"/>
        <item x="9"/>
        <item x="17"/>
        <item x="20"/>
        <item x="10"/>
        <item x="21"/>
        <item x="11"/>
        <item x="22"/>
        <item x="23"/>
        <item t="default"/>
      </items>
    </pivotField>
    <pivotField dataField="1" compact="0" showAll="0">
      <items count="25">
        <item x="0"/>
        <item x="12"/>
        <item x="1"/>
        <item x="13"/>
        <item x="2"/>
        <item x="3"/>
        <item x="7"/>
        <item x="14"/>
        <item x="6"/>
        <item x="4"/>
        <item x="15"/>
        <item x="19"/>
        <item x="5"/>
        <item x="8"/>
        <item x="18"/>
        <item x="16"/>
        <item x="9"/>
        <item x="17"/>
        <item x="20"/>
        <item x="10"/>
        <item x="21"/>
        <item x="11"/>
        <item x="22"/>
        <item x="23"/>
        <item t="default"/>
      </items>
    </pivotField>
    <pivotField dragToCol="0" dragToPage="0" dragToRow="0" compact="0" showAll="0"/>
    <pivotField dragToCol="0" dragToPage="0" dragToRow="0" compact="0" showAll="0"/>
    <pivotField dragToCol="0" dragToPage="0" dragToRow="0" compact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a de Utilidad neta" fld="12" showDataAs="percentDiff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 _x000a_dinámica3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6">
  <location ref="F26:G39" firstHeaderRow="1" firstDataRow="1" firstDataCol="1"/>
  <pivotFields count="16">
    <pivotField compact="0" showAll="0">
      <items count="3">
        <item x="0"/>
        <item x="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8"/>
        <item x="7"/>
        <item x="9"/>
        <item x="10"/>
        <item x="11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dataField="1"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3">
        <item x="11"/>
        <item x="0"/>
        <item x="1"/>
        <item x="12"/>
        <item x="3"/>
        <item x="14"/>
        <item x="6"/>
        <item x="17"/>
        <item x="2"/>
        <item x="13"/>
        <item x="4"/>
        <item x="15"/>
        <item x="5"/>
        <item x="16"/>
        <item x="7"/>
        <item x="8"/>
        <item x="18"/>
        <item x="19"/>
        <item x="9"/>
        <item x="20"/>
        <item x="10"/>
        <item x="21"/>
        <item t="default"/>
      </items>
    </pivotField>
    <pivotField compact="0" showAll="0">
      <items count="2">
        <item x="0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5">
        <item x="0"/>
        <item x="1"/>
        <item x="12"/>
        <item x="2"/>
        <item x="13"/>
        <item x="3"/>
        <item x="7"/>
        <item x="14"/>
        <item x="4"/>
        <item x="6"/>
        <item x="15"/>
        <item x="5"/>
        <item x="8"/>
        <item x="19"/>
        <item x="16"/>
        <item x="18"/>
        <item x="9"/>
        <item x="17"/>
        <item x="10"/>
        <item x="20"/>
        <item x="21"/>
        <item x="11"/>
        <item x="22"/>
        <item x="23"/>
        <item t="default"/>
      </items>
    </pivotField>
    <pivotField compact="0" showAll="0">
      <items count="25">
        <item x="0"/>
        <item x="12"/>
        <item x="1"/>
        <item x="13"/>
        <item x="2"/>
        <item x="3"/>
        <item x="7"/>
        <item x="14"/>
        <item x="6"/>
        <item x="4"/>
        <item x="15"/>
        <item x="19"/>
        <item x="5"/>
        <item x="8"/>
        <item x="18"/>
        <item x="16"/>
        <item x="9"/>
        <item x="17"/>
        <item x="20"/>
        <item x="10"/>
        <item x="21"/>
        <item x="11"/>
        <item x="22"/>
        <item x="23"/>
        <item t="default"/>
      </items>
    </pivotField>
    <pivotField compact="0" showAll="0">
      <items count="25">
        <item x="0"/>
        <item x="12"/>
        <item x="1"/>
        <item x="13"/>
        <item x="2"/>
        <item x="3"/>
        <item x="7"/>
        <item x="14"/>
        <item x="6"/>
        <item x="4"/>
        <item x="15"/>
        <item x="19"/>
        <item x="5"/>
        <item x="8"/>
        <item x="18"/>
        <item x="16"/>
        <item x="9"/>
        <item x="17"/>
        <item x="20"/>
        <item x="10"/>
        <item x="21"/>
        <item x="11"/>
        <item x="22"/>
        <item x="23"/>
        <item t="default"/>
      </items>
    </pivotField>
    <pivotField compact="0" showAll="0">
      <items count="25">
        <item x="0"/>
        <item x="12"/>
        <item x="1"/>
        <item x="13"/>
        <item x="2"/>
        <item x="3"/>
        <item x="7"/>
        <item x="14"/>
        <item x="6"/>
        <item x="4"/>
        <item x="15"/>
        <item x="19"/>
        <item x="5"/>
        <item x="8"/>
        <item x="18"/>
        <item x="16"/>
        <item x="9"/>
        <item x="17"/>
        <item x="20"/>
        <item x="10"/>
        <item x="21"/>
        <item x="11"/>
        <item x="22"/>
        <item x="23"/>
        <item t="default"/>
      </items>
    </pivotField>
    <pivotField dragToCol="0" dragToPage="0" dragToRow="0" compact="0" showAll="0"/>
    <pivotField dragToCol="0" dragToPage="0" dragToRow="0" compact="0" showAll="0"/>
    <pivotField dragToCol="0" dragToPage="0" dragToRow="0" compact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Gastos_Operativos" fld="5" baseField="0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o_Año" sourceName="Año">
  <pivotTables>
    <pivotTable tabId="3" name="ER_dn1"/>
    <pivotTable tabId="3" name="VentasXmes"/>
    <pivotTable tabId="3" name="Tabla _x000a_dinámica1"/>
    <pivotTable tabId="3" name="Tabla _x000a_dinámica2"/>
    <pivotTable tabId="3" name="Tabla _x000a_dinámica3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o_Nombre_Mes" sourceName="Nombre_Mes">
  <pivotTables>
    <pivotTable tabId="3" name="ER_dn1"/>
    <pivotTable tabId="3" name="VentasXmes"/>
    <pivotTable tabId="3" name="Tabla _x000a_dinámica1"/>
    <pivotTable tabId="3" name="Tabla _x000a_dinámica2"/>
    <pivotTable tabId="3" name="Tabla _x000a_dinámica3"/>
  </pivotTables>
  <data>
    <tabular pivotCacheId="1">
      <items count="12">
        <i x="3" s="1"/>
        <i x="7" s="1"/>
        <i x="11" s="1"/>
        <i x="0" s="1"/>
        <i x="1" s="1"/>
        <i x="6" s="1"/>
        <i x="5" s="1"/>
        <i x="2" s="1"/>
        <i x="4" s="1"/>
        <i x="10" s="1"/>
        <i x="9" s="1"/>
        <i x="8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ño" cache="Segmento_Año" caption="Año" style="Estilo de segmento 1" rowHeight="225425"/>
  <slicer name="Nombre_Mes" cache="Segmento_Nombre_Mes" caption="Nombre_Mes" columnCount="4" style="Estilo de segmento 1" rowHeight="225425"/>
</slicers>
</file>

<file path=xl/tables/table1.xml><?xml version="1.0" encoding="utf-8"?>
<table xmlns="http://schemas.openxmlformats.org/spreadsheetml/2006/main" id="1" name="ER_tr" displayName="ER_tr" ref="A1:M25" totalsRowShown="0">
  <autoFilter xmlns:etc="http://www.wps.cn/officeDocument/2017/etCustomData" ref="A1:M25" etc:filterBottomFollowUsedRange="0"/>
  <tableColumns count="13">
    <tableColumn id="1" name="Año"/>
    <tableColumn id="2" name="Mes"/>
    <tableColumn id="3" name="Nombre_Mes"/>
    <tableColumn id="4" name="Ventas"/>
    <tableColumn id="5" name="Costos"/>
    <tableColumn id="6" name="Gastos_Operativos"/>
    <tableColumn id="7" name="Otros_Ingresos_Gastos"/>
    <tableColumn id="8" name="Impuestos_Tasa"/>
    <tableColumn id="9" name="Utilidad_bruta" dataDxfId="0">
      <calculatedColumnFormula>D2-E2</calculatedColumnFormula>
    </tableColumn>
    <tableColumn id="10" name="Utilidad_operativa" dataDxfId="1">
      <calculatedColumnFormula>I2-F2</calculatedColumnFormula>
    </tableColumn>
    <tableColumn id="11" name="Utilida_anteimpuestos" dataDxfId="2">
      <calculatedColumnFormula>J2+G2</calculatedColumnFormula>
    </tableColumn>
    <tableColumn id="12" name="ISV" dataDxfId="3">
      <calculatedColumnFormula>K2*H2</calculatedColumnFormula>
    </tableColumn>
    <tableColumn id="13" name="Utilidad neta" dataDxfId="4">
      <calculatedColumnFormula>K2-L2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M9" sqref="M9"/>
    </sheetView>
  </sheetViews>
  <sheetFormatPr defaultColWidth="9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2024</v>
      </c>
      <c r="B2">
        <v>1</v>
      </c>
      <c r="C2" t="s">
        <v>8</v>
      </c>
      <c r="D2">
        <v>1850000</v>
      </c>
      <c r="E2">
        <v>1202500</v>
      </c>
      <c r="F2">
        <v>370000</v>
      </c>
      <c r="G2">
        <v>-25000</v>
      </c>
      <c r="H2">
        <v>0.28</v>
      </c>
    </row>
    <row r="3" spans="1:8">
      <c r="A3">
        <v>2024</v>
      </c>
      <c r="B3">
        <v>2</v>
      </c>
      <c r="C3" t="s">
        <v>9</v>
      </c>
      <c r="D3">
        <v>1950000</v>
      </c>
      <c r="E3">
        <v>1267500</v>
      </c>
      <c r="F3">
        <v>390000</v>
      </c>
      <c r="G3">
        <v>15000</v>
      </c>
      <c r="H3">
        <v>0.28</v>
      </c>
    </row>
    <row r="4" spans="1:8">
      <c r="A4">
        <v>2024</v>
      </c>
      <c r="B4">
        <v>3</v>
      </c>
      <c r="C4" t="s">
        <v>10</v>
      </c>
      <c r="D4">
        <v>2100000</v>
      </c>
      <c r="E4">
        <v>1365000</v>
      </c>
      <c r="F4">
        <v>420000</v>
      </c>
      <c r="G4">
        <v>30000</v>
      </c>
      <c r="H4">
        <v>0.28</v>
      </c>
    </row>
    <row r="5" spans="1:8">
      <c r="A5">
        <v>2024</v>
      </c>
      <c r="B5">
        <v>4</v>
      </c>
      <c r="C5" t="s">
        <v>11</v>
      </c>
      <c r="D5">
        <v>2250000</v>
      </c>
      <c r="E5">
        <v>1462500</v>
      </c>
      <c r="F5">
        <v>450000</v>
      </c>
      <c r="G5">
        <v>20000</v>
      </c>
      <c r="H5">
        <v>0.28</v>
      </c>
    </row>
    <row r="6" spans="1:8">
      <c r="A6">
        <v>2024</v>
      </c>
      <c r="B6">
        <v>5</v>
      </c>
      <c r="C6" t="s">
        <v>12</v>
      </c>
      <c r="D6">
        <v>2400000</v>
      </c>
      <c r="E6">
        <v>1560000</v>
      </c>
      <c r="F6">
        <v>480000</v>
      </c>
      <c r="G6">
        <v>35000</v>
      </c>
      <c r="H6">
        <v>0.28</v>
      </c>
    </row>
    <row r="7" spans="1:8">
      <c r="A7">
        <v>2024</v>
      </c>
      <c r="B7">
        <v>6</v>
      </c>
      <c r="C7" t="s">
        <v>13</v>
      </c>
      <c r="D7">
        <v>2550000</v>
      </c>
      <c r="E7">
        <v>1657500</v>
      </c>
      <c r="F7">
        <v>510000</v>
      </c>
      <c r="G7">
        <v>40000</v>
      </c>
      <c r="H7">
        <v>0.28</v>
      </c>
    </row>
    <row r="8" spans="1:8">
      <c r="A8">
        <v>2024</v>
      </c>
      <c r="B8">
        <v>7</v>
      </c>
      <c r="C8" t="s">
        <v>14</v>
      </c>
      <c r="D8">
        <v>2450000</v>
      </c>
      <c r="E8">
        <v>1592500</v>
      </c>
      <c r="F8">
        <v>490000</v>
      </c>
      <c r="G8">
        <v>25000</v>
      </c>
      <c r="H8">
        <v>0.28</v>
      </c>
    </row>
    <row r="9" spans="1:8">
      <c r="A9">
        <v>2024</v>
      </c>
      <c r="B9">
        <v>8</v>
      </c>
      <c r="C9" t="s">
        <v>15</v>
      </c>
      <c r="D9">
        <v>2350000</v>
      </c>
      <c r="E9">
        <v>1527500</v>
      </c>
      <c r="F9">
        <v>470000</v>
      </c>
      <c r="G9">
        <v>15000</v>
      </c>
      <c r="H9">
        <v>0.28</v>
      </c>
    </row>
    <row r="10" spans="1:8">
      <c r="A10">
        <v>2024</v>
      </c>
      <c r="B10">
        <v>9</v>
      </c>
      <c r="C10" t="s">
        <v>16</v>
      </c>
      <c r="D10">
        <v>2600000</v>
      </c>
      <c r="E10">
        <v>1690000</v>
      </c>
      <c r="F10">
        <v>520000</v>
      </c>
      <c r="G10">
        <v>45000</v>
      </c>
      <c r="H10">
        <v>0.28</v>
      </c>
    </row>
    <row r="11" spans="1:8">
      <c r="A11">
        <v>2024</v>
      </c>
      <c r="B11">
        <v>10</v>
      </c>
      <c r="C11" t="s">
        <v>17</v>
      </c>
      <c r="D11">
        <v>2750000</v>
      </c>
      <c r="E11">
        <v>1787500</v>
      </c>
      <c r="F11">
        <v>550000</v>
      </c>
      <c r="G11">
        <v>50000</v>
      </c>
      <c r="H11">
        <v>0.28</v>
      </c>
    </row>
    <row r="12" spans="1:8">
      <c r="A12">
        <v>2024</v>
      </c>
      <c r="B12">
        <v>11</v>
      </c>
      <c r="C12" t="s">
        <v>18</v>
      </c>
      <c r="D12">
        <v>2900000</v>
      </c>
      <c r="E12">
        <v>1885000</v>
      </c>
      <c r="F12">
        <v>580000</v>
      </c>
      <c r="G12">
        <v>60000</v>
      </c>
      <c r="H12">
        <v>0.28</v>
      </c>
    </row>
    <row r="13" spans="1:8">
      <c r="A13">
        <v>2024</v>
      </c>
      <c r="B13">
        <v>12</v>
      </c>
      <c r="C13" t="s">
        <v>19</v>
      </c>
      <c r="D13">
        <v>3100000</v>
      </c>
      <c r="E13">
        <v>2015000</v>
      </c>
      <c r="F13">
        <v>620000</v>
      </c>
      <c r="G13">
        <v>75000</v>
      </c>
      <c r="H13">
        <v>0.28</v>
      </c>
    </row>
    <row r="14" spans="1:8">
      <c r="A14">
        <v>2025</v>
      </c>
      <c r="B14">
        <v>1</v>
      </c>
      <c r="C14" t="s">
        <v>8</v>
      </c>
      <c r="D14">
        <v>2072000</v>
      </c>
      <c r="E14">
        <v>1346800</v>
      </c>
      <c r="F14">
        <v>414400</v>
      </c>
      <c r="G14">
        <v>-28000</v>
      </c>
      <c r="H14">
        <v>0.28</v>
      </c>
    </row>
    <row r="15" spans="1:8">
      <c r="A15">
        <v>2025</v>
      </c>
      <c r="B15">
        <v>2</v>
      </c>
      <c r="C15" t="s">
        <v>9</v>
      </c>
      <c r="D15">
        <v>2184000</v>
      </c>
      <c r="E15">
        <v>1419600</v>
      </c>
      <c r="F15">
        <v>436800</v>
      </c>
      <c r="G15">
        <v>16800</v>
      </c>
      <c r="H15">
        <v>0.28</v>
      </c>
    </row>
    <row r="16" spans="1:8">
      <c r="A16">
        <v>2025</v>
      </c>
      <c r="B16">
        <v>3</v>
      </c>
      <c r="C16" t="s">
        <v>10</v>
      </c>
      <c r="D16">
        <v>2352000</v>
      </c>
      <c r="E16">
        <v>1528800</v>
      </c>
      <c r="F16">
        <v>470400</v>
      </c>
      <c r="G16">
        <v>33600</v>
      </c>
      <c r="H16">
        <v>0.28</v>
      </c>
    </row>
    <row r="17" spans="1:8">
      <c r="A17">
        <v>2025</v>
      </c>
      <c r="B17">
        <v>4</v>
      </c>
      <c r="C17" t="s">
        <v>11</v>
      </c>
      <c r="D17">
        <v>2520000</v>
      </c>
      <c r="E17">
        <v>1638000</v>
      </c>
      <c r="F17">
        <v>504000</v>
      </c>
      <c r="G17">
        <v>22400</v>
      </c>
      <c r="H17">
        <v>0.28</v>
      </c>
    </row>
    <row r="18" spans="1:8">
      <c r="A18">
        <v>2025</v>
      </c>
      <c r="B18">
        <v>5</v>
      </c>
      <c r="C18" t="s">
        <v>12</v>
      </c>
      <c r="D18">
        <v>2688000</v>
      </c>
      <c r="E18">
        <v>1747200</v>
      </c>
      <c r="F18">
        <v>537600</v>
      </c>
      <c r="G18">
        <v>39200</v>
      </c>
      <c r="H18">
        <v>0.28</v>
      </c>
    </row>
    <row r="19" spans="1:8">
      <c r="A19">
        <v>2025</v>
      </c>
      <c r="B19">
        <v>6</v>
      </c>
      <c r="C19" t="s">
        <v>13</v>
      </c>
      <c r="D19">
        <v>2856000</v>
      </c>
      <c r="E19">
        <v>1856400</v>
      </c>
      <c r="F19">
        <v>571200</v>
      </c>
      <c r="G19">
        <v>44800</v>
      </c>
      <c r="H19">
        <v>0.28</v>
      </c>
    </row>
    <row r="20" spans="1:8">
      <c r="A20">
        <v>2025</v>
      </c>
      <c r="B20">
        <v>7</v>
      </c>
      <c r="C20" t="s">
        <v>14</v>
      </c>
      <c r="D20">
        <v>2744000</v>
      </c>
      <c r="E20">
        <v>1783600</v>
      </c>
      <c r="F20">
        <v>548800</v>
      </c>
      <c r="G20">
        <v>28000</v>
      </c>
      <c r="H20">
        <v>0.28</v>
      </c>
    </row>
    <row r="21" spans="1:8">
      <c r="A21">
        <v>2025</v>
      </c>
      <c r="B21">
        <v>8</v>
      </c>
      <c r="C21" t="s">
        <v>15</v>
      </c>
      <c r="D21">
        <v>2632000</v>
      </c>
      <c r="E21">
        <v>1710800</v>
      </c>
      <c r="F21">
        <v>526400</v>
      </c>
      <c r="G21">
        <v>16800</v>
      </c>
      <c r="H21">
        <v>0.28</v>
      </c>
    </row>
    <row r="22" spans="1:8">
      <c r="A22">
        <v>2025</v>
      </c>
      <c r="B22">
        <v>9</v>
      </c>
      <c r="C22" t="s">
        <v>16</v>
      </c>
      <c r="D22">
        <v>2912000</v>
      </c>
      <c r="E22">
        <v>1892800</v>
      </c>
      <c r="F22">
        <v>582400</v>
      </c>
      <c r="G22">
        <v>50400</v>
      </c>
      <c r="H22">
        <v>0.28</v>
      </c>
    </row>
    <row r="23" spans="1:8">
      <c r="A23">
        <v>2025</v>
      </c>
      <c r="B23">
        <v>10</v>
      </c>
      <c r="C23" t="s">
        <v>17</v>
      </c>
      <c r="D23">
        <v>3080000</v>
      </c>
      <c r="E23">
        <v>2002000</v>
      </c>
      <c r="F23">
        <v>616000</v>
      </c>
      <c r="G23">
        <v>56000</v>
      </c>
      <c r="H23">
        <v>0.28</v>
      </c>
    </row>
    <row r="24" spans="1:8">
      <c r="A24">
        <v>2025</v>
      </c>
      <c r="B24">
        <v>11</v>
      </c>
      <c r="C24" t="s">
        <v>18</v>
      </c>
      <c r="D24">
        <v>3248000</v>
      </c>
      <c r="E24">
        <v>2111200</v>
      </c>
      <c r="F24">
        <v>649600</v>
      </c>
      <c r="G24">
        <v>67200</v>
      </c>
      <c r="H24">
        <v>0.28</v>
      </c>
    </row>
    <row r="25" spans="1:8">
      <c r="A25">
        <v>2025</v>
      </c>
      <c r="B25">
        <v>12</v>
      </c>
      <c r="C25" t="s">
        <v>19</v>
      </c>
      <c r="D25">
        <v>3472000</v>
      </c>
      <c r="E25">
        <v>2256800</v>
      </c>
      <c r="F25">
        <v>694400</v>
      </c>
      <c r="G25">
        <v>84000</v>
      </c>
      <c r="H25">
        <v>0.28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selection activeCell="O9" sqref="O9"/>
    </sheetView>
  </sheetViews>
  <sheetFormatPr defaultColWidth="9" defaultRowHeight="15"/>
  <cols>
    <col min="1" max="1" width="5.57142857142857" customWidth="1"/>
    <col min="2" max="2" width="5.28571428571429" customWidth="1"/>
    <col min="3" max="3" width="14" customWidth="1"/>
    <col min="4" max="5" width="8.57142857142857" customWidth="1"/>
    <col min="6" max="6" width="19.1428571428571" customWidth="1"/>
    <col min="7" max="7" width="23.1428571428571" customWidth="1"/>
    <col min="8" max="8" width="16.4285714285714" customWidth="1"/>
    <col min="9" max="9" width="15" customWidth="1"/>
    <col min="10" max="10" width="12.5714285714286" customWidth="1"/>
    <col min="11" max="11" width="11.2857142857143" customWidth="1"/>
    <col min="12" max="12" width="10.2857142857143" customWidth="1"/>
    <col min="13" max="13" width="10.428571428571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>
      <c r="A2">
        <v>2024</v>
      </c>
      <c r="B2">
        <v>1</v>
      </c>
      <c r="C2" t="s">
        <v>8</v>
      </c>
      <c r="D2">
        <v>1850000</v>
      </c>
      <c r="E2">
        <v>1202500</v>
      </c>
      <c r="F2">
        <v>370000</v>
      </c>
      <c r="G2">
        <v>-25000</v>
      </c>
      <c r="H2">
        <v>0.28</v>
      </c>
      <c r="I2" s="4">
        <f t="shared" ref="I2:I25" si="0">D2-E2</f>
        <v>647500</v>
      </c>
      <c r="J2" s="4">
        <f t="shared" ref="J2:J25" si="1">I2-F2</f>
        <v>277500</v>
      </c>
      <c r="K2" s="4">
        <f t="shared" ref="K2:K25" si="2">J2+G2</f>
        <v>252500</v>
      </c>
      <c r="L2" s="4">
        <f t="shared" ref="L2:L25" si="3">K2*H2</f>
        <v>70700</v>
      </c>
      <c r="M2" s="4">
        <f t="shared" ref="M2:M25" si="4">K2-L2</f>
        <v>181800</v>
      </c>
    </row>
    <row r="3" spans="1:13">
      <c r="A3">
        <v>2024</v>
      </c>
      <c r="B3">
        <v>2</v>
      </c>
      <c r="C3" t="s">
        <v>9</v>
      </c>
      <c r="D3">
        <v>1950000</v>
      </c>
      <c r="E3">
        <v>1267500</v>
      </c>
      <c r="F3">
        <v>390000</v>
      </c>
      <c r="G3">
        <v>15000</v>
      </c>
      <c r="H3">
        <v>0.28</v>
      </c>
      <c r="I3" s="4">
        <f t="shared" si="0"/>
        <v>682500</v>
      </c>
      <c r="J3" s="4">
        <f t="shared" si="1"/>
        <v>292500</v>
      </c>
      <c r="K3" s="4">
        <f t="shared" si="2"/>
        <v>307500</v>
      </c>
      <c r="L3" s="4">
        <f t="shared" si="3"/>
        <v>86100</v>
      </c>
      <c r="M3" s="4">
        <f t="shared" si="4"/>
        <v>221400</v>
      </c>
    </row>
    <row r="4" spans="1:13">
      <c r="A4">
        <v>2024</v>
      </c>
      <c r="B4">
        <v>3</v>
      </c>
      <c r="C4" t="s">
        <v>10</v>
      </c>
      <c r="D4">
        <v>2100000</v>
      </c>
      <c r="E4">
        <v>1365000</v>
      </c>
      <c r="F4">
        <v>420000</v>
      </c>
      <c r="G4">
        <v>30000</v>
      </c>
      <c r="H4">
        <v>0.28</v>
      </c>
      <c r="I4" s="4">
        <f t="shared" si="0"/>
        <v>735000</v>
      </c>
      <c r="J4" s="4">
        <f t="shared" si="1"/>
        <v>315000</v>
      </c>
      <c r="K4" s="4">
        <f t="shared" si="2"/>
        <v>345000</v>
      </c>
      <c r="L4" s="4">
        <f t="shared" si="3"/>
        <v>96600</v>
      </c>
      <c r="M4" s="4">
        <f t="shared" si="4"/>
        <v>248400</v>
      </c>
    </row>
    <row r="5" spans="1:13">
      <c r="A5">
        <v>2024</v>
      </c>
      <c r="B5">
        <v>4</v>
      </c>
      <c r="C5" t="s">
        <v>11</v>
      </c>
      <c r="D5">
        <v>2250000</v>
      </c>
      <c r="E5">
        <v>1462500</v>
      </c>
      <c r="F5">
        <v>450000</v>
      </c>
      <c r="G5">
        <v>20000</v>
      </c>
      <c r="H5">
        <v>0.28</v>
      </c>
      <c r="I5" s="4">
        <f t="shared" si="0"/>
        <v>787500</v>
      </c>
      <c r="J5" s="4">
        <f t="shared" si="1"/>
        <v>337500</v>
      </c>
      <c r="K5" s="4">
        <f t="shared" si="2"/>
        <v>357500</v>
      </c>
      <c r="L5" s="4">
        <f t="shared" si="3"/>
        <v>100100</v>
      </c>
      <c r="M5" s="4">
        <f t="shared" si="4"/>
        <v>257400</v>
      </c>
    </row>
    <row r="6" spans="1:13">
      <c r="A6">
        <v>2024</v>
      </c>
      <c r="B6">
        <v>5</v>
      </c>
      <c r="C6" t="s">
        <v>12</v>
      </c>
      <c r="D6">
        <v>2400000</v>
      </c>
      <c r="E6">
        <v>1560000</v>
      </c>
      <c r="F6">
        <v>480000</v>
      </c>
      <c r="G6">
        <v>35000</v>
      </c>
      <c r="H6">
        <v>0.28</v>
      </c>
      <c r="I6" s="4">
        <f t="shared" si="0"/>
        <v>840000</v>
      </c>
      <c r="J6" s="4">
        <f t="shared" si="1"/>
        <v>360000</v>
      </c>
      <c r="K6" s="4">
        <f t="shared" si="2"/>
        <v>395000</v>
      </c>
      <c r="L6" s="4">
        <f t="shared" si="3"/>
        <v>110600</v>
      </c>
      <c r="M6" s="4">
        <f t="shared" si="4"/>
        <v>284400</v>
      </c>
    </row>
    <row r="7" spans="1:13">
      <c r="A7">
        <v>2024</v>
      </c>
      <c r="B7">
        <v>6</v>
      </c>
      <c r="C7" t="s">
        <v>13</v>
      </c>
      <c r="D7">
        <v>2550000</v>
      </c>
      <c r="E7">
        <v>1657500</v>
      </c>
      <c r="F7">
        <v>510000</v>
      </c>
      <c r="G7">
        <v>40000</v>
      </c>
      <c r="H7">
        <v>0.28</v>
      </c>
      <c r="I7" s="4">
        <f t="shared" si="0"/>
        <v>892500</v>
      </c>
      <c r="J7" s="4">
        <f t="shared" si="1"/>
        <v>382500</v>
      </c>
      <c r="K7" s="4">
        <f t="shared" si="2"/>
        <v>422500</v>
      </c>
      <c r="L7" s="4">
        <f t="shared" si="3"/>
        <v>118300</v>
      </c>
      <c r="M7" s="4">
        <f t="shared" si="4"/>
        <v>304200</v>
      </c>
    </row>
    <row r="8" spans="1:13">
      <c r="A8">
        <v>2024</v>
      </c>
      <c r="B8">
        <v>7</v>
      </c>
      <c r="C8" t="s">
        <v>14</v>
      </c>
      <c r="D8">
        <v>2450000</v>
      </c>
      <c r="E8">
        <v>1592500</v>
      </c>
      <c r="F8">
        <v>490000</v>
      </c>
      <c r="G8">
        <v>25000</v>
      </c>
      <c r="H8">
        <v>0.28</v>
      </c>
      <c r="I8" s="4">
        <f t="shared" si="0"/>
        <v>857500</v>
      </c>
      <c r="J8" s="4">
        <f t="shared" si="1"/>
        <v>367500</v>
      </c>
      <c r="K8" s="4">
        <f t="shared" si="2"/>
        <v>392500</v>
      </c>
      <c r="L8" s="4">
        <f t="shared" si="3"/>
        <v>109900</v>
      </c>
      <c r="M8" s="4">
        <f t="shared" si="4"/>
        <v>282600</v>
      </c>
    </row>
    <row r="9" spans="1:13">
      <c r="A9">
        <v>2024</v>
      </c>
      <c r="B9">
        <v>8</v>
      </c>
      <c r="C9" t="s">
        <v>15</v>
      </c>
      <c r="D9">
        <v>2350000</v>
      </c>
      <c r="E9">
        <v>1527500</v>
      </c>
      <c r="F9">
        <v>470000</v>
      </c>
      <c r="G9">
        <v>15000</v>
      </c>
      <c r="H9">
        <v>0.28</v>
      </c>
      <c r="I9" s="4">
        <f t="shared" si="0"/>
        <v>822500</v>
      </c>
      <c r="J9" s="4">
        <f t="shared" si="1"/>
        <v>352500</v>
      </c>
      <c r="K9" s="4">
        <f t="shared" si="2"/>
        <v>367500</v>
      </c>
      <c r="L9" s="4">
        <f t="shared" si="3"/>
        <v>102900</v>
      </c>
      <c r="M9" s="4">
        <f t="shared" si="4"/>
        <v>264600</v>
      </c>
    </row>
    <row r="10" spans="1:13">
      <c r="A10">
        <v>2024</v>
      </c>
      <c r="B10">
        <v>9</v>
      </c>
      <c r="C10" t="s">
        <v>16</v>
      </c>
      <c r="D10">
        <v>2600000</v>
      </c>
      <c r="E10">
        <v>1690000</v>
      </c>
      <c r="F10">
        <v>520000</v>
      </c>
      <c r="G10">
        <v>45000</v>
      </c>
      <c r="H10">
        <v>0.28</v>
      </c>
      <c r="I10" s="4">
        <f t="shared" si="0"/>
        <v>910000</v>
      </c>
      <c r="J10" s="4">
        <f t="shared" si="1"/>
        <v>390000</v>
      </c>
      <c r="K10" s="4">
        <f t="shared" si="2"/>
        <v>435000</v>
      </c>
      <c r="L10" s="4">
        <f t="shared" si="3"/>
        <v>121800</v>
      </c>
      <c r="M10" s="4">
        <f t="shared" si="4"/>
        <v>313200</v>
      </c>
    </row>
    <row r="11" spans="1:13">
      <c r="A11">
        <v>2024</v>
      </c>
      <c r="B11">
        <v>10</v>
      </c>
      <c r="C11" t="s">
        <v>17</v>
      </c>
      <c r="D11">
        <v>2750000</v>
      </c>
      <c r="E11">
        <v>1787500</v>
      </c>
      <c r="F11">
        <v>550000</v>
      </c>
      <c r="G11">
        <v>50000</v>
      </c>
      <c r="H11">
        <v>0.28</v>
      </c>
      <c r="I11" s="4">
        <f t="shared" si="0"/>
        <v>962500</v>
      </c>
      <c r="J11" s="4">
        <f t="shared" si="1"/>
        <v>412500</v>
      </c>
      <c r="K11" s="4">
        <f t="shared" si="2"/>
        <v>462500</v>
      </c>
      <c r="L11" s="4">
        <f t="shared" si="3"/>
        <v>129500</v>
      </c>
      <c r="M11" s="4">
        <f t="shared" si="4"/>
        <v>333000</v>
      </c>
    </row>
    <row r="12" spans="1:13">
      <c r="A12">
        <v>2024</v>
      </c>
      <c r="B12">
        <v>11</v>
      </c>
      <c r="C12" t="s">
        <v>18</v>
      </c>
      <c r="D12">
        <v>2900000</v>
      </c>
      <c r="E12">
        <v>1885000</v>
      </c>
      <c r="F12">
        <v>580000</v>
      </c>
      <c r="G12">
        <v>60000</v>
      </c>
      <c r="H12">
        <v>0.28</v>
      </c>
      <c r="I12" s="4">
        <f t="shared" si="0"/>
        <v>1015000</v>
      </c>
      <c r="J12" s="4">
        <f t="shared" si="1"/>
        <v>435000</v>
      </c>
      <c r="K12" s="4">
        <f t="shared" si="2"/>
        <v>495000</v>
      </c>
      <c r="L12" s="4">
        <f t="shared" si="3"/>
        <v>138600</v>
      </c>
      <c r="M12" s="4">
        <f t="shared" si="4"/>
        <v>356400</v>
      </c>
    </row>
    <row r="13" spans="1:13">
      <c r="A13">
        <v>2024</v>
      </c>
      <c r="B13">
        <v>12</v>
      </c>
      <c r="C13" t="s">
        <v>19</v>
      </c>
      <c r="D13">
        <v>3100000</v>
      </c>
      <c r="E13">
        <v>2015000</v>
      </c>
      <c r="F13">
        <v>620000</v>
      </c>
      <c r="G13">
        <v>75000</v>
      </c>
      <c r="H13">
        <v>0.28</v>
      </c>
      <c r="I13" s="4">
        <f t="shared" si="0"/>
        <v>1085000</v>
      </c>
      <c r="J13" s="4">
        <f t="shared" si="1"/>
        <v>465000</v>
      </c>
      <c r="K13" s="4">
        <f t="shared" si="2"/>
        <v>540000</v>
      </c>
      <c r="L13" s="4">
        <f t="shared" si="3"/>
        <v>151200</v>
      </c>
      <c r="M13" s="4">
        <f t="shared" si="4"/>
        <v>388800</v>
      </c>
    </row>
    <row r="14" spans="1:13">
      <c r="A14">
        <v>2025</v>
      </c>
      <c r="B14">
        <v>1</v>
      </c>
      <c r="C14" t="s">
        <v>8</v>
      </c>
      <c r="D14">
        <v>2072000</v>
      </c>
      <c r="E14">
        <v>1346800</v>
      </c>
      <c r="F14">
        <v>414400</v>
      </c>
      <c r="G14">
        <v>-28000</v>
      </c>
      <c r="H14">
        <v>0.28</v>
      </c>
      <c r="I14" s="4">
        <f t="shared" si="0"/>
        <v>725200</v>
      </c>
      <c r="J14" s="4">
        <f t="shared" si="1"/>
        <v>310800</v>
      </c>
      <c r="K14" s="4">
        <f t="shared" si="2"/>
        <v>282800</v>
      </c>
      <c r="L14" s="4">
        <f t="shared" si="3"/>
        <v>79184</v>
      </c>
      <c r="M14" s="4">
        <f t="shared" si="4"/>
        <v>203616</v>
      </c>
    </row>
    <row r="15" spans="1:13">
      <c r="A15">
        <v>2025</v>
      </c>
      <c r="B15">
        <v>2</v>
      </c>
      <c r="C15" t="s">
        <v>9</v>
      </c>
      <c r="D15">
        <v>2184000</v>
      </c>
      <c r="E15">
        <v>1419600</v>
      </c>
      <c r="F15">
        <v>436800</v>
      </c>
      <c r="G15">
        <v>16800</v>
      </c>
      <c r="H15">
        <v>0.28</v>
      </c>
      <c r="I15" s="4">
        <f t="shared" si="0"/>
        <v>764400</v>
      </c>
      <c r="J15" s="4">
        <f t="shared" si="1"/>
        <v>327600</v>
      </c>
      <c r="K15" s="4">
        <f t="shared" si="2"/>
        <v>344400</v>
      </c>
      <c r="L15" s="4">
        <f t="shared" si="3"/>
        <v>96432</v>
      </c>
      <c r="M15" s="4">
        <f t="shared" si="4"/>
        <v>247968</v>
      </c>
    </row>
    <row r="16" spans="1:13">
      <c r="A16">
        <v>2025</v>
      </c>
      <c r="B16">
        <v>3</v>
      </c>
      <c r="C16" t="s">
        <v>10</v>
      </c>
      <c r="D16">
        <v>2352000</v>
      </c>
      <c r="E16">
        <v>1528800</v>
      </c>
      <c r="F16">
        <v>470400</v>
      </c>
      <c r="G16">
        <v>33600</v>
      </c>
      <c r="H16">
        <v>0.28</v>
      </c>
      <c r="I16" s="4">
        <f t="shared" si="0"/>
        <v>823200</v>
      </c>
      <c r="J16" s="4">
        <f t="shared" si="1"/>
        <v>352800</v>
      </c>
      <c r="K16" s="4">
        <f t="shared" si="2"/>
        <v>386400</v>
      </c>
      <c r="L16" s="4">
        <f t="shared" si="3"/>
        <v>108192</v>
      </c>
      <c r="M16" s="4">
        <f t="shared" si="4"/>
        <v>278208</v>
      </c>
    </row>
    <row r="17" spans="1:13">
      <c r="A17">
        <v>2025</v>
      </c>
      <c r="B17">
        <v>4</v>
      </c>
      <c r="C17" t="s">
        <v>11</v>
      </c>
      <c r="D17">
        <v>2520000</v>
      </c>
      <c r="E17">
        <v>1638000</v>
      </c>
      <c r="F17">
        <v>504000</v>
      </c>
      <c r="G17">
        <v>22400</v>
      </c>
      <c r="H17">
        <v>0.28</v>
      </c>
      <c r="I17" s="4">
        <f t="shared" si="0"/>
        <v>882000</v>
      </c>
      <c r="J17" s="4">
        <f t="shared" si="1"/>
        <v>378000</v>
      </c>
      <c r="K17" s="4">
        <f t="shared" si="2"/>
        <v>400400</v>
      </c>
      <c r="L17" s="4">
        <f t="shared" si="3"/>
        <v>112112</v>
      </c>
      <c r="M17" s="4">
        <f t="shared" si="4"/>
        <v>288288</v>
      </c>
    </row>
    <row r="18" spans="1:13">
      <c r="A18">
        <v>2025</v>
      </c>
      <c r="B18">
        <v>5</v>
      </c>
      <c r="C18" t="s">
        <v>12</v>
      </c>
      <c r="D18">
        <v>2688000</v>
      </c>
      <c r="E18">
        <v>1747200</v>
      </c>
      <c r="F18">
        <v>537600</v>
      </c>
      <c r="G18">
        <v>39200</v>
      </c>
      <c r="H18">
        <v>0.28</v>
      </c>
      <c r="I18" s="4">
        <f t="shared" si="0"/>
        <v>940800</v>
      </c>
      <c r="J18" s="4">
        <f t="shared" si="1"/>
        <v>403200</v>
      </c>
      <c r="K18" s="4">
        <f t="shared" si="2"/>
        <v>442400</v>
      </c>
      <c r="L18" s="4">
        <f t="shared" si="3"/>
        <v>123872</v>
      </c>
      <c r="M18" s="4">
        <f t="shared" si="4"/>
        <v>318528</v>
      </c>
    </row>
    <row r="19" spans="1:13">
      <c r="A19">
        <v>2025</v>
      </c>
      <c r="B19">
        <v>6</v>
      </c>
      <c r="C19" t="s">
        <v>13</v>
      </c>
      <c r="D19">
        <v>2856000</v>
      </c>
      <c r="E19">
        <v>1856400</v>
      </c>
      <c r="F19">
        <v>571200</v>
      </c>
      <c r="G19">
        <v>44800</v>
      </c>
      <c r="H19">
        <v>0.28</v>
      </c>
      <c r="I19" s="4">
        <f t="shared" si="0"/>
        <v>999600</v>
      </c>
      <c r="J19" s="4">
        <f t="shared" si="1"/>
        <v>428400</v>
      </c>
      <c r="K19" s="4">
        <f t="shared" si="2"/>
        <v>473200</v>
      </c>
      <c r="L19" s="4">
        <f t="shared" si="3"/>
        <v>132496</v>
      </c>
      <c r="M19" s="4">
        <f t="shared" si="4"/>
        <v>340704</v>
      </c>
    </row>
    <row r="20" spans="1:13">
      <c r="A20">
        <v>2025</v>
      </c>
      <c r="B20">
        <v>7</v>
      </c>
      <c r="C20" t="s">
        <v>14</v>
      </c>
      <c r="D20">
        <v>2744000</v>
      </c>
      <c r="E20">
        <v>1783600</v>
      </c>
      <c r="F20">
        <v>548800</v>
      </c>
      <c r="G20">
        <v>28000</v>
      </c>
      <c r="H20">
        <v>0.28</v>
      </c>
      <c r="I20" s="4">
        <f t="shared" si="0"/>
        <v>960400</v>
      </c>
      <c r="J20" s="4">
        <f t="shared" si="1"/>
        <v>411600</v>
      </c>
      <c r="K20" s="4">
        <f t="shared" si="2"/>
        <v>439600</v>
      </c>
      <c r="L20" s="4">
        <f t="shared" si="3"/>
        <v>123088</v>
      </c>
      <c r="M20" s="4">
        <f t="shared" si="4"/>
        <v>316512</v>
      </c>
    </row>
    <row r="21" spans="1:13">
      <c r="A21">
        <v>2025</v>
      </c>
      <c r="B21">
        <v>8</v>
      </c>
      <c r="C21" t="s">
        <v>15</v>
      </c>
      <c r="D21">
        <v>2632000</v>
      </c>
      <c r="E21">
        <v>1710800</v>
      </c>
      <c r="F21">
        <v>526400</v>
      </c>
      <c r="G21">
        <v>16800</v>
      </c>
      <c r="H21">
        <v>0.28</v>
      </c>
      <c r="I21" s="4">
        <f t="shared" si="0"/>
        <v>921200</v>
      </c>
      <c r="J21" s="4">
        <f t="shared" si="1"/>
        <v>394800</v>
      </c>
      <c r="K21" s="4">
        <f t="shared" si="2"/>
        <v>411600</v>
      </c>
      <c r="L21" s="4">
        <f t="shared" si="3"/>
        <v>115248</v>
      </c>
      <c r="M21" s="4">
        <f t="shared" si="4"/>
        <v>296352</v>
      </c>
    </row>
    <row r="22" spans="1:13">
      <c r="A22">
        <v>2025</v>
      </c>
      <c r="B22">
        <v>9</v>
      </c>
      <c r="C22" t="s">
        <v>16</v>
      </c>
      <c r="D22">
        <v>2912000</v>
      </c>
      <c r="E22">
        <v>1892800</v>
      </c>
      <c r="F22">
        <v>582400</v>
      </c>
      <c r="G22">
        <v>50400</v>
      </c>
      <c r="H22">
        <v>0.28</v>
      </c>
      <c r="I22" s="4">
        <f t="shared" si="0"/>
        <v>1019200</v>
      </c>
      <c r="J22" s="4">
        <f t="shared" si="1"/>
        <v>436800</v>
      </c>
      <c r="K22" s="4">
        <f t="shared" si="2"/>
        <v>487200</v>
      </c>
      <c r="L22" s="4">
        <f t="shared" si="3"/>
        <v>136416</v>
      </c>
      <c r="M22" s="4">
        <f t="shared" si="4"/>
        <v>350784</v>
      </c>
    </row>
    <row r="23" spans="1:13">
      <c r="A23">
        <v>2025</v>
      </c>
      <c r="B23">
        <v>10</v>
      </c>
      <c r="C23" t="s">
        <v>17</v>
      </c>
      <c r="D23">
        <v>3080000</v>
      </c>
      <c r="E23">
        <v>2002000</v>
      </c>
      <c r="F23">
        <v>616000</v>
      </c>
      <c r="G23">
        <v>56000</v>
      </c>
      <c r="H23">
        <v>0.28</v>
      </c>
      <c r="I23" s="4">
        <f t="shared" si="0"/>
        <v>1078000</v>
      </c>
      <c r="J23" s="4">
        <f t="shared" si="1"/>
        <v>462000</v>
      </c>
      <c r="K23" s="4">
        <f t="shared" si="2"/>
        <v>518000</v>
      </c>
      <c r="L23" s="4">
        <f t="shared" si="3"/>
        <v>145040</v>
      </c>
      <c r="M23" s="4">
        <f t="shared" si="4"/>
        <v>372960</v>
      </c>
    </row>
    <row r="24" spans="1:13">
      <c r="A24">
        <v>2025</v>
      </c>
      <c r="B24">
        <v>11</v>
      </c>
      <c r="C24" t="s">
        <v>18</v>
      </c>
      <c r="D24">
        <v>3248000</v>
      </c>
      <c r="E24">
        <v>2111200</v>
      </c>
      <c r="F24">
        <v>649600</v>
      </c>
      <c r="G24">
        <v>67200</v>
      </c>
      <c r="H24">
        <v>0.28</v>
      </c>
      <c r="I24" s="4">
        <f t="shared" si="0"/>
        <v>1136800</v>
      </c>
      <c r="J24" s="4">
        <f t="shared" si="1"/>
        <v>487200</v>
      </c>
      <c r="K24" s="4">
        <f t="shared" si="2"/>
        <v>554400</v>
      </c>
      <c r="L24" s="4">
        <f t="shared" si="3"/>
        <v>155232</v>
      </c>
      <c r="M24" s="4">
        <f t="shared" si="4"/>
        <v>399168</v>
      </c>
    </row>
    <row r="25" spans="1:13">
      <c r="A25">
        <v>2025</v>
      </c>
      <c r="B25">
        <v>12</v>
      </c>
      <c r="C25" t="s">
        <v>19</v>
      </c>
      <c r="D25">
        <v>3472000</v>
      </c>
      <c r="E25">
        <v>2256800</v>
      </c>
      <c r="F25">
        <v>694400</v>
      </c>
      <c r="G25">
        <v>84000</v>
      </c>
      <c r="H25">
        <v>0.28</v>
      </c>
      <c r="I25" s="4">
        <f t="shared" si="0"/>
        <v>1215200</v>
      </c>
      <c r="J25" s="4">
        <f t="shared" si="1"/>
        <v>520800</v>
      </c>
      <c r="K25" s="4">
        <f t="shared" si="2"/>
        <v>604800</v>
      </c>
      <c r="L25" s="4">
        <f t="shared" si="3"/>
        <v>169344</v>
      </c>
      <c r="M25" s="4">
        <f t="shared" si="4"/>
        <v>435456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J39"/>
  <sheetViews>
    <sheetView workbookViewId="0">
      <selection activeCell="E18" sqref="E18"/>
    </sheetView>
  </sheetViews>
  <sheetFormatPr defaultColWidth="9.14285714285714" defaultRowHeight="15"/>
  <cols>
    <col min="1" max="1" width="16.4285714285714"/>
    <col min="2" max="3" width="11.2857142857143"/>
    <col min="4" max="4" width="13.5714285714286"/>
    <col min="5" max="5" width="31"/>
    <col min="6" max="6" width="16.1428571428571"/>
    <col min="7" max="7" width="28.2857142857143"/>
    <col min="8" max="8" width="31"/>
    <col min="9" max="9" width="13.5714285714286"/>
    <col min="10" max="10" width="22.5714285714286"/>
  </cols>
  <sheetData>
    <row r="4" spans="1:8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</row>
    <row r="5" spans="1:8">
      <c r="A5" s="2">
        <v>62010000</v>
      </c>
      <c r="B5" s="2">
        <v>40306500</v>
      </c>
      <c r="C5" s="3">
        <v>0.28</v>
      </c>
      <c r="D5" s="2">
        <v>2583750</v>
      </c>
      <c r="E5" s="2">
        <v>7284744</v>
      </c>
      <c r="F5" s="3">
        <v>0.117476923076923</v>
      </c>
      <c r="G5" s="3">
        <v>0.35</v>
      </c>
      <c r="H5" s="3">
        <v>0.2</v>
      </c>
    </row>
    <row r="11" spans="1:10">
      <c r="A11" t="s">
        <v>25</v>
      </c>
      <c r="B11" t="s">
        <v>0</v>
      </c>
      <c r="F11" t="s">
        <v>2</v>
      </c>
      <c r="G11" t="s">
        <v>29</v>
      </c>
      <c r="I11" t="s">
        <v>0</v>
      </c>
      <c r="J11" t="s">
        <v>29</v>
      </c>
    </row>
    <row r="12" spans="1:10">
      <c r="A12" t="s">
        <v>2</v>
      </c>
      <c r="B12">
        <v>2024</v>
      </c>
      <c r="C12">
        <v>2025</v>
      </c>
      <c r="D12" t="s">
        <v>33</v>
      </c>
      <c r="F12" t="s">
        <v>8</v>
      </c>
      <c r="G12" s="3"/>
      <c r="I12">
        <v>2024</v>
      </c>
      <c r="J12" s="3"/>
    </row>
    <row r="13" spans="1:10">
      <c r="A13" t="s">
        <v>8</v>
      </c>
      <c r="B13" s="2">
        <v>1850000</v>
      </c>
      <c r="C13" s="2">
        <v>2072000</v>
      </c>
      <c r="D13" s="2">
        <v>3922000</v>
      </c>
      <c r="F13" t="s">
        <v>9</v>
      </c>
      <c r="G13" s="3">
        <v>0.217821782178218</v>
      </c>
      <c r="I13">
        <v>2025</v>
      </c>
      <c r="J13" s="3">
        <v>0.12</v>
      </c>
    </row>
    <row r="14" spans="1:10">
      <c r="A14" t="s">
        <v>9</v>
      </c>
      <c r="B14" s="2">
        <v>1950000</v>
      </c>
      <c r="C14" s="2">
        <v>2184000</v>
      </c>
      <c r="D14" s="2">
        <v>4134000</v>
      </c>
      <c r="F14" t="s">
        <v>10</v>
      </c>
      <c r="G14" s="3">
        <v>0.366336633663366</v>
      </c>
      <c r="I14" t="s">
        <v>33</v>
      </c>
      <c r="J14" s="3"/>
    </row>
    <row r="15" spans="1:7">
      <c r="A15" t="s">
        <v>10</v>
      </c>
      <c r="B15" s="2">
        <v>2100000</v>
      </c>
      <c r="C15" s="2">
        <v>2352000</v>
      </c>
      <c r="D15" s="2">
        <v>4452000</v>
      </c>
      <c r="F15" t="s">
        <v>11</v>
      </c>
      <c r="G15" s="3">
        <v>0.415841584158416</v>
      </c>
    </row>
    <row r="16" spans="1:7">
      <c r="A16" t="s">
        <v>11</v>
      </c>
      <c r="B16" s="2">
        <v>2250000</v>
      </c>
      <c r="C16" s="2">
        <v>2520000</v>
      </c>
      <c r="D16" s="2">
        <v>4770000</v>
      </c>
      <c r="F16" t="s">
        <v>12</v>
      </c>
      <c r="G16" s="3">
        <v>0.564356435643564</v>
      </c>
    </row>
    <row r="17" spans="1:7">
      <c r="A17" t="s">
        <v>12</v>
      </c>
      <c r="B17" s="2">
        <v>2400000</v>
      </c>
      <c r="C17" s="2">
        <v>2688000</v>
      </c>
      <c r="D17" s="2">
        <v>5088000</v>
      </c>
      <c r="F17" t="s">
        <v>13</v>
      </c>
      <c r="G17" s="3">
        <v>0.673267326732673</v>
      </c>
    </row>
    <row r="18" spans="1:7">
      <c r="A18" t="s">
        <v>13</v>
      </c>
      <c r="B18" s="2">
        <v>2550000</v>
      </c>
      <c r="C18" s="2">
        <v>2856000</v>
      </c>
      <c r="D18" s="2">
        <v>5406000</v>
      </c>
      <c r="F18" t="s">
        <v>14</v>
      </c>
      <c r="G18" s="3">
        <v>0.554455445544555</v>
      </c>
    </row>
    <row r="19" spans="1:7">
      <c r="A19" t="s">
        <v>14</v>
      </c>
      <c r="B19" s="2">
        <v>2450000</v>
      </c>
      <c r="C19" s="2">
        <v>2744000</v>
      </c>
      <c r="D19" s="2">
        <v>5194000</v>
      </c>
      <c r="F19" t="s">
        <v>15</v>
      </c>
      <c r="G19" s="3">
        <v>0.455445544554455</v>
      </c>
    </row>
    <row r="20" spans="1:7">
      <c r="A20" t="s">
        <v>15</v>
      </c>
      <c r="B20" s="2">
        <v>2350000</v>
      </c>
      <c r="C20" s="2">
        <v>2632000</v>
      </c>
      <c r="D20" s="2">
        <v>4982000</v>
      </c>
      <c r="F20" t="s">
        <v>16</v>
      </c>
      <c r="G20" s="3">
        <v>0.722772277227723</v>
      </c>
    </row>
    <row r="21" spans="1:7">
      <c r="A21" t="s">
        <v>16</v>
      </c>
      <c r="B21" s="2">
        <v>2600000</v>
      </c>
      <c r="C21" s="2">
        <v>2912000</v>
      </c>
      <c r="D21" s="2">
        <v>5512000</v>
      </c>
      <c r="F21" t="s">
        <v>17</v>
      </c>
      <c r="G21" s="3">
        <v>0.831683168316832</v>
      </c>
    </row>
    <row r="22" spans="1:7">
      <c r="A22" t="s">
        <v>17</v>
      </c>
      <c r="B22" s="2">
        <v>2750000</v>
      </c>
      <c r="C22" s="2">
        <v>3080000</v>
      </c>
      <c r="D22" s="2">
        <v>5830000</v>
      </c>
      <c r="F22" t="s">
        <v>18</v>
      </c>
      <c r="G22" s="3">
        <v>0.96039603960396</v>
      </c>
    </row>
    <row r="23" spans="1:7">
      <c r="A23" t="s">
        <v>18</v>
      </c>
      <c r="B23" s="2">
        <v>2900000</v>
      </c>
      <c r="C23" s="2">
        <v>3248000</v>
      </c>
      <c r="D23" s="2">
        <v>6148000</v>
      </c>
      <c r="F23" t="s">
        <v>19</v>
      </c>
      <c r="G23" s="3">
        <v>1.13861386138614</v>
      </c>
    </row>
    <row r="24" spans="1:7">
      <c r="A24" t="s">
        <v>19</v>
      </c>
      <c r="B24" s="2">
        <v>3100000</v>
      </c>
      <c r="C24" s="2">
        <v>3472000</v>
      </c>
      <c r="D24" s="2">
        <v>6572000</v>
      </c>
      <c r="F24" t="s">
        <v>33</v>
      </c>
      <c r="G24" s="3"/>
    </row>
    <row r="25" spans="1:4">
      <c r="A25" t="s">
        <v>33</v>
      </c>
      <c r="B25" s="2">
        <v>29250000</v>
      </c>
      <c r="C25" s="2">
        <v>32760000</v>
      </c>
      <c r="D25" s="2">
        <v>62010000</v>
      </c>
    </row>
    <row r="26" spans="6:7">
      <c r="F26" t="s">
        <v>2</v>
      </c>
      <c r="G26" t="s">
        <v>34</v>
      </c>
    </row>
    <row r="27" spans="6:7">
      <c r="F27" t="s">
        <v>8</v>
      </c>
      <c r="G27" s="2">
        <v>784400</v>
      </c>
    </row>
    <row r="28" spans="6:7">
      <c r="F28" t="s">
        <v>9</v>
      </c>
      <c r="G28" s="2">
        <v>826800</v>
      </c>
    </row>
    <row r="29" spans="6:7">
      <c r="F29" t="s">
        <v>10</v>
      </c>
      <c r="G29" s="2">
        <v>890400</v>
      </c>
    </row>
    <row r="30" spans="6:7">
      <c r="F30" t="s">
        <v>11</v>
      </c>
      <c r="G30" s="2">
        <v>954000</v>
      </c>
    </row>
    <row r="31" spans="6:7">
      <c r="F31" t="s">
        <v>12</v>
      </c>
      <c r="G31" s="2">
        <v>1017600</v>
      </c>
    </row>
    <row r="32" spans="6:7">
      <c r="F32" t="s">
        <v>13</v>
      </c>
      <c r="G32" s="2">
        <v>1081200</v>
      </c>
    </row>
    <row r="33" spans="6:7">
      <c r="F33" t="s">
        <v>14</v>
      </c>
      <c r="G33" s="2">
        <v>1038800</v>
      </c>
    </row>
    <row r="34" spans="6:7">
      <c r="F34" t="s">
        <v>16</v>
      </c>
      <c r="G34" s="2">
        <v>1102400</v>
      </c>
    </row>
    <row r="35" spans="6:7">
      <c r="F35" t="s">
        <v>15</v>
      </c>
      <c r="G35" s="2">
        <v>996400</v>
      </c>
    </row>
    <row r="36" spans="6:7">
      <c r="F36" t="s">
        <v>17</v>
      </c>
      <c r="G36" s="2">
        <v>1166000</v>
      </c>
    </row>
    <row r="37" spans="6:7">
      <c r="F37" t="s">
        <v>18</v>
      </c>
      <c r="G37" s="2">
        <v>1229600</v>
      </c>
    </row>
    <row r="38" spans="6:7">
      <c r="F38" t="s">
        <v>19</v>
      </c>
      <c r="G38" s="2">
        <v>1314400</v>
      </c>
    </row>
    <row r="39" spans="6:7">
      <c r="F39" t="s">
        <v>33</v>
      </c>
      <c r="G39" s="2">
        <v>12402000</v>
      </c>
    </row>
  </sheetData>
  <pageMargins left="0.75" right="0.75" top="1" bottom="1" header="0.5" footer="0.5"/>
  <headerFooter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18"/>
  <sheetViews>
    <sheetView showGridLines="0" showRowColHeaders="0" tabSelected="1" workbookViewId="0">
      <selection activeCell="T9" sqref="T9"/>
    </sheetView>
  </sheetViews>
  <sheetFormatPr defaultColWidth="9.14285714285714" defaultRowHeight="15"/>
  <cols>
    <col min="1" max="16384" width="9.14285714285714" style="1"/>
  </cols>
  <sheetData>
    <row r="18" spans="10:10">
      <c r="J18" s="1" t="s">
        <v>35</v>
      </c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ER</vt:lpstr>
      <vt:lpstr>ER_tr</vt:lpstr>
      <vt:lpstr>ER_dn1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Garcia</cp:lastModifiedBy>
  <dcterms:created xsi:type="dcterms:W3CDTF">2026-02-02T19:15:00Z</dcterms:created>
  <dcterms:modified xsi:type="dcterms:W3CDTF">2026-02-27T23:38:19Z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3082-12.2.0.23196</vt:lpwstr>
  </property>
  <property fmtid="{D5CDD505-2E9C-101B-9397-08002B2CF9AE}" pid="3" name="ICV">
    <vt:lpwstr>ABF03E8CCF3F4D788581A223A8891635_12</vt:lpwstr>
  </property>
</Properties>
</file>