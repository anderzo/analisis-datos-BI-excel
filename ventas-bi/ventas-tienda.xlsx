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45" windowHeight="8625" firstSheet="1" activeTab="3"/>
  </bookViews>
  <sheets>
    <sheet name="E-commerce Customer Behavior_DC" sheetId="1" r:id="rId1"/>
    <sheet name="E-commerce Customer Behavior_DL" sheetId="2" r:id="rId2"/>
    <sheet name="analisis" sheetId="3" r:id="rId3"/>
    <sheet name="dashboard" sheetId="4" r:id="rId4"/>
  </sheets>
  <definedNames>
    <definedName name="Segmento_City">#N/A</definedName>
    <definedName name="Segmento_Gender">#N/A</definedName>
    <definedName name="Segmento_DiscountApplied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8"/>
        <x14:slicerCache r:id="rId7"/>
        <x14:slicerCache r:id="rId6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<sst xmlns="http://schemas.openxmlformats.org/spreadsheetml/2006/main" count="1821" uniqueCount="397">
  <si>
    <t>Customer ID,Gender,Age,City,Membership Type,Total Spend,Items Purchased,Average Rating,Discount Applied,Days Since Last Purchase,Satisfaction Level</t>
  </si>
  <si>
    <t>101,Female,29,New York,Gold,1120.2,14,4.6,TRUE,25,Satisfied</t>
  </si>
  <si>
    <t>102,Male,34,Los Angeles,Silver,780.5,11,4.1,FALSE,18,Neutral</t>
  </si>
  <si>
    <t>103,Female,43,Chicago,Bronze,510.75,9,3.4,TRUE,42,Unsatisfied</t>
  </si>
  <si>
    <t>104,Male,30,San Francisco,Gold,1480.3,19,4.7,FALSE,12,Satisfied</t>
  </si>
  <si>
    <t>105,Male,27,Miami,Silver,720.4,13,4,TRUE,55,Unsatisfied</t>
  </si>
  <si>
    <t>106,Female,37,Houston,Bronze,440.8,8,3.1,FALSE,22,Neutral</t>
  </si>
  <si>
    <t>107,Female,31,New York,Gold,1150.6,15,4.5,TRUE,28,Satisfied</t>
  </si>
  <si>
    <t>108,Male,35,Los Angeles,Silver,800.9,12,4.2,FALSE,14,Neutral</t>
  </si>
  <si>
    <t>109,Female,41,Chicago,Bronze,495.25,10,3.6,TRUE,40,Unsatisfied</t>
  </si>
  <si>
    <t>110,Male,28,San Francisco,Gold,1520.1,21,4.8,FALSE,9,Satisfied</t>
  </si>
  <si>
    <t>111,Male,32,Miami,Silver,690.3,11,3.8,TRUE,34,Unsatisfied</t>
  </si>
  <si>
    <t>112,Female,36,Houston,Bronze,470.5,7,3.2,FALSE,20,Neutral</t>
  </si>
  <si>
    <t>113,Female,30,New York,Gold,1200.8,16,4.3,TRUE,21,Satisfied</t>
  </si>
  <si>
    <t>114,Male,33,Los Angeles,Silver,820.75,13,4.4,FALSE,15,Satisfied</t>
  </si>
  <si>
    <t>115,Female,42,Chicago,Bronze,530.4,9,3.5,TRUE,38,Unsatisfied</t>
  </si>
  <si>
    <t>116,Male,29,San Francisco,Gold,1360.2,18,4.9,FALSE,11,Satisfied</t>
  </si>
  <si>
    <t>117,Male,26,Miami,Silver,700.6,12,3.7,TRUE,48,Unsatisfied</t>
  </si>
  <si>
    <t>118,Female,38,Houston,Bronze,450.9,8,3,FALSE,25,Neutral</t>
  </si>
  <si>
    <t>119,Female,32,New York,Gold,1170.3,14,4.7,TRUE,29,Satisfied</t>
  </si>
  <si>
    <t>120,Male,34,Los Angeles,Silver,790.2,11,4,FALSE,16,Neutral</t>
  </si>
  <si>
    <t>121,Female,43,Chicago,Bronze,505.75,10,3.3,TRUE,41,Unsatisfied</t>
  </si>
  <si>
    <t>122,Male,30,San Francisco,Gold,1470.5,20,4.8,FALSE,13,Satisfied</t>
  </si>
  <si>
    <t>123,Male,27,Miami,Silver,710.4,13,4.1,TRUE,54,Unsatisfied</t>
  </si>
  <si>
    <t>124,Female,37,Houston,Bronze,430.8,7,3.4,FALSE,23,Neutral</t>
  </si>
  <si>
    <t>125,Female,31,New York,Gold,1140.6,15,4.6,TRUE,27,Satisfied</t>
  </si>
  <si>
    <t>126,Male,35,Los Angeles,Silver,810.9,12,4.3,FALSE,13,Neutral</t>
  </si>
  <si>
    <t>127,Female,41,Chicago,Bronze,485.25,9,3.6,TRUE,39,Unsatisfied</t>
  </si>
  <si>
    <t>128,Male,28,San Francisco,Gold,1500.1,21,4.9,FALSE,10,Satisfied</t>
  </si>
  <si>
    <t>129,Male,32,Miami,Silver,670.3,10,3.8,TRUE,33,Unsatisfied</t>
  </si>
  <si>
    <t>130,Female,36,Houston,Bronze,460.5,8,3.1,FALSE,19,Neutral</t>
  </si>
  <si>
    <t>131,Female,30,New York,Gold,1190.8,16,4.5,TRUE,20,Satisfied</t>
  </si>
  <si>
    <t>132,Male,33,Los Angeles,Silver,830.75,13,4.2,FALSE,14,Satisfied</t>
  </si>
  <si>
    <t>133,Female,42,Chicago,Bronze,520.4,9,3.5,TRUE,37,Unsatisfied</t>
  </si>
  <si>
    <t>134,Male,29,San Francisco,Gold,1370.2,18,4.7,FALSE,10,Satisfied</t>
  </si>
  <si>
    <t>135,Male,26,Miami,Silver,690.6,12,3.9,TRUE,47,Unsatisfied</t>
  </si>
  <si>
    <t>136,Female,38,Houston,Bronze,440.9,8,3.2,FALSE,24,Neutral</t>
  </si>
  <si>
    <t>137,Female,32,New York,Gold,1160.3,14,4.4,TRUE,22,Satisfied</t>
  </si>
  <si>
    <t>138,Male,34,Los Angeles,Silver,800.2,11,4.1,FALSE,17,Neutral</t>
  </si>
  <si>
    <t>139,Female,43,Chicago,Bronze,500.75,10,3.3,TRUE,40,Unsatisfied</t>
  </si>
  <si>
    <t>140,Male,30,San Francisco,Gold,1460.5,20,4.8,FALSE,12,Satisfied</t>
  </si>
  <si>
    <t>141,Male,27,Miami,Silver,700.4,13,4,TRUE,53,Unsatisfied</t>
  </si>
  <si>
    <t>142,Female,37,Houston,Bronze,420.8,7,3.1,FALSE,21,Neutral</t>
  </si>
  <si>
    <t>143,Female,31,New York,Gold,1130.6,15,4.5,TRUE,26,Satisfied</t>
  </si>
  <si>
    <t>144,Male,35,Los Angeles,Silver,820.9,12,4.3,FALSE,12,Neutral</t>
  </si>
  <si>
    <t>145,Female,41,Chicago,Bronze,480.25,9,3.6,TRUE,38,Unsatisfied</t>
  </si>
  <si>
    <t>146,Male,28,San Francisco,Gold,1490.1,21,4.9,FALSE,9,Satisfied</t>
  </si>
  <si>
    <t>147,Male,32,Miami,Silver,680.3,10,3.8,TRUE,32,Unsatisfied</t>
  </si>
  <si>
    <t>148,Female,36,Houston,Bronze,470.5,8,3,FALSE,18,Neutral</t>
  </si>
  <si>
    <t>149,Female,30,New York,Gold,1180.8,16,4.7,TRUE,19,Satisfied</t>
  </si>
  <si>
    <t>150,Male,34,Los Angeles,Silver,790.2,11,4,FALSE,15,Neutral</t>
  </si>
  <si>
    <t>151,Female,43,Chicago,Bronze,505.75,10,3.3,TRUE,39,Unsatisfied</t>
  </si>
  <si>
    <t>152,Male,30,San Francisco,Gold,1470.5,20,4.8,FALSE,13,Satisfied</t>
  </si>
  <si>
    <t>153,Male,27,Miami,Silver,710.4,13,4.1,TRUE,54,Unsatisfied</t>
  </si>
  <si>
    <t>154,Female,37,Houston,Bronze,430.8,7,3.4,FALSE,23,Neutral</t>
  </si>
  <si>
    <t>155,Female,31,New York,Gold,1140.6,15,4.6,TRUE,27,Satisfied</t>
  </si>
  <si>
    <t>156,Male,35,Los Angeles,Silver,810.9,12,4.3,FALSE,13,Neutral</t>
  </si>
  <si>
    <t>157,Female,41,Chicago,Bronze,485.25,9,3.6,TRUE,39,Unsatisfied</t>
  </si>
  <si>
    <t>158,Male,28,San Francisco,Gold,1500.1,21,4.9,FALSE,10,Satisfied</t>
  </si>
  <si>
    <t>159,Male,32,Miami,Silver,670.3,10,3.8,TRUE,33,Unsatisfied</t>
  </si>
  <si>
    <t>160,Female,36,Houston,Bronze,460.5,8,3.1,FALSE,19,Neutral</t>
  </si>
  <si>
    <t>161,Female,30,New York,Gold,1190.8,16,4.5,TRUE,20,Satisfied</t>
  </si>
  <si>
    <t>162,Male,33,Los Angeles,Silver,830.75,13,4.2,FALSE,14,Satisfied</t>
  </si>
  <si>
    <t>163,Female,42,Chicago,Bronze,520.4,9,3.5,TRUE,37,Unsatisfied</t>
  </si>
  <si>
    <t>164,Male,29,San Francisco,Gold,1370.2,18,4.7,FALSE,10,Satisfied</t>
  </si>
  <si>
    <t>165,Male,26,Miami,Silver,690.6,12,3.9,TRUE,47,Unsatisfied</t>
  </si>
  <si>
    <t>166,Female,38,Houston,Bronze,440.9,8,3.2,FALSE,24,Neutral</t>
  </si>
  <si>
    <t>167,Female,32,New York,Gold,1160.3,14,4.4,TRUE,22,Satisfied</t>
  </si>
  <si>
    <t>168,Male,34,Los Angeles,Silver,800.2,11,4.1,FALSE,17,Neutral</t>
  </si>
  <si>
    <t>169,Female,43,Chicago,Bronze,500.75,10,3.3,TRUE,40,Unsatisfied</t>
  </si>
  <si>
    <t>170,Male,30,San Francisco,Gold,1460.5,20,4.8,FALSE,12,Satisfied</t>
  </si>
  <si>
    <t>171,Male,27,Miami,Silver,700.4,13,4,TRUE,53,Unsatisfied</t>
  </si>
  <si>
    <t>172,Female,37,Houston,Bronze,420.8,7,3.1,FALSE,21,</t>
  </si>
  <si>
    <t>173,Female,31,New York,Gold,1130.6,15,4.5,TRUE,26,Satisfied</t>
  </si>
  <si>
    <t>174,Male,35,Los Angeles,Silver,820.9,12,4.3,FALSE,12,Neutral</t>
  </si>
  <si>
    <t>175,Female,41,Chicago,Bronze,480.25,9,3.6,TRUE,38,Unsatisfied</t>
  </si>
  <si>
    <t>176,Male,28,San Francisco,Gold,1490.1,21,4.9,FALSE,9,Satisfied</t>
  </si>
  <si>
    <t>177,Male,32,Miami,Silver,680.3,10,3.8,TRUE,32,Unsatisfied</t>
  </si>
  <si>
    <t>178,Female,36,Houston,Bronze,470.5,8,3,FALSE,18,Neutral</t>
  </si>
  <si>
    <t>179,Female,30,New York,Gold,1180.8,16,4.7,TRUE,19,Satisfied</t>
  </si>
  <si>
    <t>180,Male,34,Los Angeles,Silver,790.2,11,4,FALSE,15,Neutral</t>
  </si>
  <si>
    <t>181,Female,43,Chicago,Bronze,505.75,10,3.3,TRUE,39,Unsatisfied</t>
  </si>
  <si>
    <t>182,Male,30,San Francisco,Gold,1470.5,20,4.8,FALSE,13,Satisfied</t>
  </si>
  <si>
    <t>183,Male,27,Miami,Silver,710.4,13,4.1,TRUE,54,Unsatisfied</t>
  </si>
  <si>
    <t>184,Female,37,Houston,Bronze,430.8,7,3.4,FALSE,23,Neutral</t>
  </si>
  <si>
    <t>185,Female,31,New York,Gold,1140.6,15,4.6,TRUE,27,Satisfied</t>
  </si>
  <si>
    <t>186,Male,35,Los Angeles,Silver,810.9,12,4.3,FALSE,13,Neutral</t>
  </si>
  <si>
    <t>187,Female,41,Chicago,Bronze,485.25,9,3.6,TRUE,39,Unsatisfied</t>
  </si>
  <si>
    <t>188,Male,28,San Francisco,Gold,1500.1,21,4.9,FALSE,10,Satisfied</t>
  </si>
  <si>
    <t>189,Male,32,Miami,Silver,670.3,10,3.8,TRUE,33,Unsatisfied</t>
  </si>
  <si>
    <t>190,Female,36,Houston,Bronze,460.5,8,3.1,FALSE,19,Neutral</t>
  </si>
  <si>
    <t>191,Female,30,New York,Gold,1190.8,16,4.5,TRUE,20,Satisfied</t>
  </si>
  <si>
    <t>192,Male,33,Los Angeles,Silver,830.75,13,4.2,FALSE,14,Satisfied</t>
  </si>
  <si>
    <t>193,Female,42,Chicago,Bronze,520.4,9,3.5,TRUE,37,Unsatisfied</t>
  </si>
  <si>
    <t>194,Male,29,San Francisco,Gold,1370.2,18,4.7,FALSE,10,Satisfied</t>
  </si>
  <si>
    <t>195,Male,26,Miami,Silver,690.6,12,3.9,TRUE,47,Unsatisfied</t>
  </si>
  <si>
    <t>196,Female,38,Houston,Bronze,440.9,8,3.2,FALSE,24,Neutral</t>
  </si>
  <si>
    <t>197,Female,32,New York,Gold,1160.3,14,4.4,TRUE,22,Satisfied</t>
  </si>
  <si>
    <t>198,Male,34,Los Angeles,Silver,800.2,11,4.1,FALSE,17,Neutral</t>
  </si>
  <si>
    <t>199,Female,43,Chicago,Bronze,500.75,10,3.3,TRUE,40,Unsatisfied</t>
  </si>
  <si>
    <t>200,Male,30,San Francisco,Gold,1460.5,20,4.8,FALSE,12,Satisfied</t>
  </si>
  <si>
    <t>201,Male,27,Miami,Silver,700.4,13,4,TRUE,53,Unsatisfied</t>
  </si>
  <si>
    <t>202,Female,37,Houston,Bronze,420.8,7,3.1,FALSE,21,Neutral</t>
  </si>
  <si>
    <t>203,Female,31,New York,Gold,1130.6,15,4.5,TRUE,26,Satisfied</t>
  </si>
  <si>
    <t>204,Male,35,Los Angeles,Silver,820.9,12,4.3,FALSE,12,Neutral</t>
  </si>
  <si>
    <t>205,Female,41,Chicago,Bronze,480.25,9,3.6,TRUE,38,Unsatisfied</t>
  </si>
  <si>
    <t>206,Male,28,San Francisco,Gold,1490.1,21,4.9,FALSE,9,Satisfied</t>
  </si>
  <si>
    <t>207,Male,32,Miami,Silver,680.3,10,3.8,TRUE,32,Unsatisfied</t>
  </si>
  <si>
    <t>208,Female,36,Houston,Bronze,470.5,8,3,FALSE,18,Neutral</t>
  </si>
  <si>
    <t>209,Female,30,New York,Gold,1180.8,16,4.7,TRUE,19,Satisfied</t>
  </si>
  <si>
    <t>210,Male,34,Los Angeles,Silver,790.2,11,4,FALSE,15,Neutral</t>
  </si>
  <si>
    <t>211,Female,43,Chicago,Bronze,505.75,10,3.3,TRUE,39,Unsatisfied</t>
  </si>
  <si>
    <t>212,Male,30,San Francisco,Gold,1470.5,20,4.8,FALSE,13,Satisfied</t>
  </si>
  <si>
    <t>213,Male,27,Miami,Silver,710.4,13,4.1,TRUE,54,Unsatisfied</t>
  </si>
  <si>
    <t>214,Female,37,Houston,Bronze,430.8,7,3.4,FALSE,23,Neutral</t>
  </si>
  <si>
    <t>215,Female,31,New York,Gold,1140.6,15,4.6,TRUE,27,Satisfied</t>
  </si>
  <si>
    <t>216,Male,35,Los Angeles,Silver,810.9,12,4.3,FALSE,13,Neutral</t>
  </si>
  <si>
    <t>217,Female,41,Chicago,Bronze,485.25,9,3.6,TRUE,39,Unsatisfied</t>
  </si>
  <si>
    <t>218,Male,28,San Francisco,Gold,1500.1,21,4.9,FALSE,10,Satisfied</t>
  </si>
  <si>
    <t>219,Male,32,Miami,Silver,670.3,10,3.8,TRUE,33,Unsatisfied</t>
  </si>
  <si>
    <t>220,Female,36,Houston,Bronze,460.5,8,3.1,FALSE,19,Neutral</t>
  </si>
  <si>
    <t>221,Female,30,New York,Gold,1190.8,16,4.5,TRUE,20,Satisfied</t>
  </si>
  <si>
    <t>222,Male,33,Los Angeles,Silver,830.75,13,4.2,FALSE,14,Satisfied</t>
  </si>
  <si>
    <t>223,Female,42,Chicago,Bronze,520.4,9,3.5,TRUE,37,Unsatisfied</t>
  </si>
  <si>
    <t>224,Male,29,San Francisco,Gold,1370.2,18,4.7,FALSE,10,Satisfied</t>
  </si>
  <si>
    <t>225,Male,26,Miami,Silver,690.6,12,3.9,TRUE,47,Unsatisfied</t>
  </si>
  <si>
    <t>226,Female,38,Houston,Bronze,440.9,8,3.2,FALSE,24,Neutral</t>
  </si>
  <si>
    <t>227,Female,32,New York,Gold,1160.3,14,4.4,TRUE,22,Satisfied</t>
  </si>
  <si>
    <t>228,Male,34,Los Angeles,Silver,800.2,11,4.1,FALSE,17,Neutral</t>
  </si>
  <si>
    <t>229,Female,43,Chicago,Bronze,500.75,10,3.3,TRUE,40,Unsatisfied</t>
  </si>
  <si>
    <t>230,Male,30,San Francisco,Gold,1460.5,20,4.8,FALSE,12,Satisfied</t>
  </si>
  <si>
    <t>231,Male,27,Miami,Silver,700.4,13,4,TRUE,53,Unsatisfied</t>
  </si>
  <si>
    <t>232,Female,37,Houston,Bronze,420.8,7,3.1,FALSE,21,Neutral</t>
  </si>
  <si>
    <t>233,Female,31,New York,Gold,1130.6,15,4.5,TRUE,26,Satisfied</t>
  </si>
  <si>
    <t>234,Male,35,Los Angeles,Silver,820.9,12,4.3,FALSE,12,Neutral</t>
  </si>
  <si>
    <t>235,Female,41,Chicago,Bronze,480.25,9,3.6,TRUE,38,Unsatisfied</t>
  </si>
  <si>
    <t>236,Male,28,San Francisco,Gold,1490.1,21,4.9,FALSE,9,Satisfied</t>
  </si>
  <si>
    <t>237,Male,32,Miami,Silver,680.3,10,3.8,TRUE,32,Unsatisfied</t>
  </si>
  <si>
    <t>238,Female,36,Houston,Bronze,470.5,8,3,FALSE,18,Neutral</t>
  </si>
  <si>
    <t>239,Female,30,New York,Gold,1180.8,16,4.7,TRUE,19,Satisfied</t>
  </si>
  <si>
    <t>240,Male,34,Los Angeles,Silver,790.2,11,4,FALSE,15,Neutral</t>
  </si>
  <si>
    <t>241,Female,43,Chicago,Bronze,505.75,10,3.3,TRUE,39,Unsatisfied</t>
  </si>
  <si>
    <t>242,Male,30,San Francisco,Gold,1470.5,20,4.8,FALSE,13,Satisfied</t>
  </si>
  <si>
    <t>243,Male,27,Miami,Silver,710.4,13,4.1,TRUE,54,Unsatisfied</t>
  </si>
  <si>
    <t>244,Female,37,Houston,Bronze,430.8,7,3.4,FALSE,23,</t>
  </si>
  <si>
    <t>245,Female,31,New York,Gold,1130.6,15,4.5,TRUE,26,Satisfied</t>
  </si>
  <si>
    <t>246,Male,35,Los Angeles,Silver,820.9,12,4.3,FALSE,12,Neutral</t>
  </si>
  <si>
    <t>247,Female,41,Chicago,Bronze,480.25,9,3.6,TRUE,38,Unsatisfied</t>
  </si>
  <si>
    <t>248,Male,28,San Francisco,Gold,1490.1,21,4.9,FALSE,9,Satisfied</t>
  </si>
  <si>
    <t>249,Male,32,Miami,Silver,680.3,10,3.8,TRUE,32,Unsatisfied</t>
  </si>
  <si>
    <t>250,Female,36,Houston,Bronze,470.5,8,3,FALSE,18,Neutral</t>
  </si>
  <si>
    <t>251,Female,30,New York,Gold,1180.8,16,4.7,TRUE,19,Satisfied</t>
  </si>
  <si>
    <t>252,Male,34,Los Angeles,Silver,790.2,11,4,FALSE,15,Neutral</t>
  </si>
  <si>
    <t>253,Female,43,Chicago,Bronze,505.75,10,3.3,TRUE,39,Unsatisfied</t>
  </si>
  <si>
    <t>254,Male,30,San Francisco,Gold,1470.5,20,4.8,FALSE,13,Satisfied</t>
  </si>
  <si>
    <t>255,Male,27,Miami,Silver,710.4,13,4.1,TRUE,54,Unsatisfied</t>
  </si>
  <si>
    <t>256,Female,37,Houston,Bronze,430.8,7,3.4,FALSE,23,Neutral</t>
  </si>
  <si>
    <t>257,Female,31,New York,Gold,1140.6,15,4.6,TRUE,27,Satisfied</t>
  </si>
  <si>
    <t>258,Male,35,Los Angeles,Silver,810.9,12,4.3,FALSE,13,Neutral</t>
  </si>
  <si>
    <t>259,Female,41,Chicago,Bronze,485.25,9,3.6,TRUE,39,Unsatisfied</t>
  </si>
  <si>
    <t>260,Male,28,San Francisco,Gold,1500.1,21,4.9,FALSE,10,Satisfied</t>
  </si>
  <si>
    <t>261,Male,32,Miami,Silver,670.3,10,3.8,TRUE,33,Unsatisfied</t>
  </si>
  <si>
    <t>262,Female,36,Houston,Bronze,460.5,8,3.1,FALSE,19,Neutral</t>
  </si>
  <si>
    <t>263,Female,30,New York,Gold,1190.8,16,4.5,TRUE,20,Satisfied</t>
  </si>
  <si>
    <t>264,Male,33,Los Angeles,Silver,830.75,13,4.2,FALSE,14,Satisfied</t>
  </si>
  <si>
    <t>265,Female,42,Chicago,Bronze,520.4,9,3.5,TRUE,37,Unsatisfied</t>
  </si>
  <si>
    <t>266,Male,29,San Francisco,Gold,1370.2,18,4.7,FALSE,10,Satisfied</t>
  </si>
  <si>
    <t>267,Male,26,Miami,Silver,690.6,12,3.9,TRUE,47,Unsatisfied</t>
  </si>
  <si>
    <t>268,Female,38,Houston,Bronze,440.9,8,3.2,FALSE,24,Neutral</t>
  </si>
  <si>
    <t>269,Female,32,New York,Gold,1160.3,14,4.4,TRUE,22,Satisfied</t>
  </si>
  <si>
    <t>270,Male,34,Los Angeles,Silver,800.2,11,4.1,FALSE,17,Neutral</t>
  </si>
  <si>
    <t>271,Female,43,Chicago,Bronze,500.75,10,3.3,TRUE,40,Unsatisfied</t>
  </si>
  <si>
    <t>272,Male,30,San Francisco,Gold,1460.5,20,4.8,FALSE,12,Satisfied</t>
  </si>
  <si>
    <t>273,Male,27,Miami,Silver,700.4,13,4,TRUE,53,Unsatisfied</t>
  </si>
  <si>
    <t>274,Female,37,Houston,Bronze,430.8,7,3.4,FALSE,23,Neutral</t>
  </si>
  <si>
    <t>275,Female,31,New York,Gold,1140.6,15,4.5,TRUE,27,Satisfied</t>
  </si>
  <si>
    <t>276,Male,35,Los Angeles,Silver,820.9,12,4.3,FALSE,12,Neutral</t>
  </si>
  <si>
    <t>277,Female,41,Chicago,Bronze,480.25,9,3.6,TRUE,38,Unsatisfied</t>
  </si>
  <si>
    <t>278,Male,28,San Francisco,Gold,1490.1,21,4.9,FALSE,9,Satisfied</t>
  </si>
  <si>
    <t>279,Male,32,Miami,Silver,680.3,10,3.8,TRUE,32,Unsatisfied</t>
  </si>
  <si>
    <t>280,Female,36,Houston,Bronze,470.5,8,3,FALSE,18,Neutral</t>
  </si>
  <si>
    <t>281,Female,30,New York,Gold,1180.8,16,4.7,TRUE,19,Satisfied</t>
  </si>
  <si>
    <t>282,Male,34,Los Angeles,Silver,790.2,11,4,FALSE,15,Neutral</t>
  </si>
  <si>
    <t>283,Female,43,Chicago,Bronze,505.75,10,3.3,TRUE,39,Unsatisfied</t>
  </si>
  <si>
    <t>284,Male,30,San Francisco,Gold,1470.5,20,4.8,FALSE,13,Satisfied</t>
  </si>
  <si>
    <t>285,Male,27,Miami,Silver,710.4,13,4.1,TRUE,54,Unsatisfied</t>
  </si>
  <si>
    <t>286,Female,37,Houston,Bronze,430.8,7,3.4,FALSE,23,Neutral</t>
  </si>
  <si>
    <t>287,Female,31,New York,Gold,1130.6,15,4.5,TRUE,26,Satisfied</t>
  </si>
  <si>
    <t>288,Male,35,Los Angeles,Silver,820.9,12,4.3,FALSE,13,Neutral</t>
  </si>
  <si>
    <t>289,Female,41,Chicago,Bronze,485.25,9,3.6,TRUE,39,Unsatisfied</t>
  </si>
  <si>
    <t>290,Male,28,San Francisco,Gold,1500.1,21,4.9,FALSE,10,Satisfied</t>
  </si>
  <si>
    <t>291,Male,32,Miami,Silver,670.3,10,3.8,TRUE,33,Unsatisfied</t>
  </si>
  <si>
    <t>292,Female,36,Houston,Bronze,460.5,8,3.1,FALSE,19,Neutral</t>
  </si>
  <si>
    <t>293,Female,30,New York,Gold,1190.8,16,4.5,TRUE,20,Satisfied</t>
  </si>
  <si>
    <t>294,Male,33,Los Angeles,Silver,830.75,13,4.2,FALSE,14,Satisfied</t>
  </si>
  <si>
    <t>295,Female,42,Chicago,Bronze,520.4,9,3.5,TRUE,37,Unsatisfied</t>
  </si>
  <si>
    <t>296,Male,29,San Francisco,Gold,1370.2,18,4.7,FALSE,10,Satisfied</t>
  </si>
  <si>
    <t>297,Male,26,Miami,Silver,690.6,12,3.9,TRUE,47,Unsatisfied</t>
  </si>
  <si>
    <t>298,Female,38,Houston,Bronze,440.9,8,3.2,FALSE,24,Neutral</t>
  </si>
  <si>
    <t>299,Female,32,New York,Gold,1160.3,14,4.4,TRUE,22,Satisfied</t>
  </si>
  <si>
    <t>300,Male,34,Los Angeles,Silver,800.2,11,4.1,FALSE,17,Neutral</t>
  </si>
  <si>
    <t>301,Male,36,San Francisco,Gold,1420.8,19,4.6,FALSE,11,Satisfied</t>
  </si>
  <si>
    <t>302,Female,29,Miami,Silver,730.4,14,4,TRUE,50,Unsatisfied</t>
  </si>
  <si>
    <t>303,Female,35,Houston,Bronze,450.6,7,3.3,FALSE,21,Neutral</t>
  </si>
  <si>
    <t>304,Male,31,New York,Gold,1210.6,17,4.8,TRUE,18,Satisfied</t>
  </si>
  <si>
    <t>305,Male,27,Los Angeles,Silver,780.9,11,4.2,FALSE,16,Neutral</t>
  </si>
  <si>
    <t>306,Female,42,Chicago,Bronze,495.25,10,3.5,TRUE,35,Unsatisfied</t>
  </si>
  <si>
    <t>307,Male,29,San Francisco,Gold,1390.2,18,4.7,FALSE,9,Satisfied</t>
  </si>
  <si>
    <t>308,Male,26,Miami,Silver,670.6,12,3.9,TRUE,46,Unsatisfied</t>
  </si>
  <si>
    <t>309,Female,38,Houston,Bronze,460.9,8,3.2,FALSE,25,Neutral</t>
  </si>
  <si>
    <t>310,Female,32,New York,Gold,1170.3,14,4.5,TRUE,21,Satisfied</t>
  </si>
  <si>
    <t>311,Male,34,Los Angeles,Silver,810.2,11,4,FALSE,14,Neutral</t>
  </si>
  <si>
    <t>312,Female,43,Chicago,Bronze,515.75,9,3.3,TRUE,38,Unsatisfied</t>
  </si>
  <si>
    <t>313,Male,30,San Francisco,Gold,1450.5,20,4.8,FALSE,12,Satisfied</t>
  </si>
  <si>
    <t>314,Male,27,Miami,Silver,690.4,13,4.1,TRUE,52,Unsatisfied</t>
  </si>
  <si>
    <t>315,Female,37,Houston,Bronze,420.8,7,3.4,FALSE,24,Neutral</t>
  </si>
  <si>
    <t>316,Female,31,New York,Gold,1130.6,15,4.5,TRUE,26,Satisfied</t>
  </si>
  <si>
    <t>317,Male,35,Los Angeles,Silver,820.9,12,4.3,FALSE,13,Neutral</t>
  </si>
  <si>
    <t>318,Female,41,Chicago,Bronze,480.25,9,3.6,TRUE,39,Unsatisfied</t>
  </si>
  <si>
    <t>319,Male,28,San Francisco,Gold,1490.1,21,4.9,FALSE,9,Satisfied</t>
  </si>
  <si>
    <t>320,Male,32,Miami,Silver,680.3,10,3.8,TRUE,32,Unsatisfied</t>
  </si>
  <si>
    <t>321,Female,36,Houston,Bronze,470.5,8,3,FALSE,18,Neutral</t>
  </si>
  <si>
    <t>322,Female,30,New York,Gold,1180.8,16,4.7,TRUE,19,Satisfied</t>
  </si>
  <si>
    <t>323,Male,34,Los Angeles,Silver,790.2,11,4,FALSE,15,Neutral</t>
  </si>
  <si>
    <t>324,Female,43,Chicago,Bronze,505.75,10,3.3,TRUE,39,Unsatisfied</t>
  </si>
  <si>
    <t>325,Male,30,San Francisco,Gold,1470.5,20,4.8,FALSE,13,Satisfied</t>
  </si>
  <si>
    <t>326,Male,27,Miami,Silver,710.4,13,4.1,TRUE,54,Unsatisfied</t>
  </si>
  <si>
    <t>327,Female,37,Houston,Bronze,430.8,7,3.4,FALSE,23,Neutral</t>
  </si>
  <si>
    <t>328,Female,31,New York,Gold,1140.6,15,4.5,TRUE,27,Satisfied</t>
  </si>
  <si>
    <t>329,Male,35,Los Angeles,Silver,820.9,12,4.3,FALSE,13,Neutral</t>
  </si>
  <si>
    <t>330,Female,41,Chicago,Bronze,485.25,9,3.6,TRUE,39,Unsatisfied</t>
  </si>
  <si>
    <t>331,Male,28,San Francisco,Gold,1500.1,21,4.9,FALSE,10,Satisfied</t>
  </si>
  <si>
    <t>332,Male,32,Miami,Silver,670.3,10,3.8,TRUE,33,Unsatisfied</t>
  </si>
  <si>
    <t>333,Female,36,Houston,Bronze,460.5,8,3.1,FALSE,19,Neutral</t>
  </si>
  <si>
    <t>334,Female,30,New York,Gold,1190.8,16,4.5,TRUE,20,Satisfied</t>
  </si>
  <si>
    <t>335,Male,33,Los Angeles,Silver,830.75,13,4.2,FALSE,14,Satisfied</t>
  </si>
  <si>
    <t>336,Female,42,Chicago,Bronze,520.4,9,3.5,TRUE,37,Unsatisfied</t>
  </si>
  <si>
    <t>337,Male,29,San Francisco,Gold,1370.2,18,4.7,FALSE,10,Satisfied</t>
  </si>
  <si>
    <t>338,Male,26,Miami,Silver,690.6,12,3.9,TRUE,47,Unsatisfied</t>
  </si>
  <si>
    <t>339,Female,38,Houston,Bronze,440.9,8,3.2,FALSE,24,Neutral</t>
  </si>
  <si>
    <t>340,Female,32,New York,Gold,1160.3,14,4.4,TRUE,22,Satisfied</t>
  </si>
  <si>
    <t>341,Male,34,Los Angeles,Silver,800.2,11,4.1,FALSE,17,Neutral</t>
  </si>
  <si>
    <t>342,Female,43,Chicago,Bronze,525.75,9,3.3,TRUE,40,Unsatisfied</t>
  </si>
  <si>
    <t>343,Male,30,San Francisco,Gold,1460.5,20,4.8,FALSE,11,Satisfied</t>
  </si>
  <si>
    <t>344,Male,27,Miami,Silver,720.4,13,4,TRUE,55,Unsatisfied</t>
  </si>
  <si>
    <t>345,Female,37,Houston,Bronze,440.8,7,3.2,FALSE,25,Neutral</t>
  </si>
  <si>
    <t>346,Female,31,New York,Gold,1150.6,15,4.5,TRUE,28,Satisfied</t>
  </si>
  <si>
    <t>347,Male,35,Los Angeles,Silver,830.9,12,4.3,FALSE,14,Neutral</t>
  </si>
  <si>
    <t>348,Female,41,Chicago,Bronze,490.25,9,3.6,TRUE,40,Unsatisfied</t>
  </si>
  <si>
    <t>349,Male,28,San Francisco,Gold,1480.1,21,4.9,FALSE,10,Satisfied</t>
  </si>
  <si>
    <t>350,Male,32,Miami,Silver,690.3,10,3.8,TRUE,34,Unsatisfied</t>
  </si>
  <si>
    <t>351,Female,36,Houston,Bronze,480.5,8,3.1,FALSE,20,Neutral</t>
  </si>
  <si>
    <t>352,Female,30,New York,Gold,1170.8,16,4.7,TRUE,21,Satisfied</t>
  </si>
  <si>
    <t>353,Male,34,Los Angeles,Silver,790.2,11,4,FALSE,15,Neutral</t>
  </si>
  <si>
    <t>354,Female,43,Chicago,Bronze,510.75,10,3.3,TRUE,41,Unsatisfied</t>
  </si>
  <si>
    <t>355,Male,30,San Francisco,Gold,1440.5,19,4.6,FALSE,12,Satisfied</t>
  </si>
  <si>
    <t>356,Male,27,Miami,Silver,700.4,13,4.1,TRUE,56,Unsatisfied</t>
  </si>
  <si>
    <t>357,Female,37,Houston,Bronze,410.8,7,3.4,FALSE,26,Neutral</t>
  </si>
  <si>
    <t>358,Female,31,New York,Gold,1160.6,15,4.5,TRUE,29,Satisfied</t>
  </si>
  <si>
    <t>359,Male,35,Los Angeles,Silver,810.9,12,4.3,FALSE,14,Neutral</t>
  </si>
  <si>
    <t>360,Female,41,Chicago,Bronze,495.25,9,3.6,TRUE,41,Unsatisfied</t>
  </si>
  <si>
    <t>361,Male,28,San Francisco,Gold,1490.1,21,4.9,FALSE,10,Satisfied</t>
  </si>
  <si>
    <t>362,Male,32,Miami,Silver,660.3,10,3.8,TRUE,35,Unsatisfied</t>
  </si>
  <si>
    <t>363,Female,36,Houston,Bronze,430.5,8,3.1,FALSE,21,Neutral</t>
  </si>
  <si>
    <t>364,Female,30,New York,Gold,1200.8,16,4.7,TRUE,22,Satisfied</t>
  </si>
  <si>
    <t>365,Male,34,Los Angeles,Silver,780.2,11,4.1,FALSE,16,Neutral</t>
  </si>
  <si>
    <t>366,Female,43,Chicago,Bronze,505.75,10,3.3,TRUE,42,Unsatisfied</t>
  </si>
  <si>
    <t>367,Male,30,San Francisco,Gold,1460.5,20,4.8,FALSE,13,Satisfied</t>
  </si>
  <si>
    <t>368,Male,27,Miami,Silver,710.4,13,4.1,TRUE,57,Unsatisfied</t>
  </si>
  <si>
    <t>369,Female,37,Houston,Bronze,450.8,7,3.4,FALSE,24,Neutral</t>
  </si>
  <si>
    <t>370,Female,31,New York,Gold,1140.6,15,4.5,TRUE,30,Satisfied</t>
  </si>
  <si>
    <t>371,Male,35,Los Angeles,Silver,800.9,12,4.1,FALSE,17,Neutral</t>
  </si>
  <si>
    <t>372,Female,41,Chicago,Bronze,475.25,9,3.6,TRUE,42,Unsatisfied</t>
  </si>
  <si>
    <t>373,Male,28,San Francisco,Gold,1480.1,21,4.9,FALSE,11,Satisfied</t>
  </si>
  <si>
    <t>374,Male,32,Miami,Silver,660.3,10,3.8,TRUE,36,Unsatisfied</t>
  </si>
  <si>
    <t>375,Female,36,Houston,Bronze,470.5,8,3,FALSE,22,Neutral</t>
  </si>
  <si>
    <t>376,Female,30,New York,Gold,1190.8,16,4.5,TRUE,23,Satisfied</t>
  </si>
  <si>
    <t>377,Male,33,Los Angeles,Silver,770.2,11,4.2,FALSE,18,Neutral</t>
  </si>
  <si>
    <t>378,Female,43,Chicago,Bronze,515.75,10,3.3,TRUE,43,Unsatisfied</t>
  </si>
  <si>
    <t>379,Male,30,San Francisco,Gold,1450.5,19,4.6,FALSE,12,Satisfied</t>
  </si>
  <si>
    <t>380,Male,27,Miami,Silver,710.4,13,4.1,TRUE,58,Unsatisfied</t>
  </si>
  <si>
    <t>381,Female,37,Houston,Bronze,430.8,7,3.4,FALSE,27,Neutral</t>
  </si>
  <si>
    <t>382,Female,31,New York,Gold,1160.6,15,4.5,TRUE,31,Satisfied</t>
  </si>
  <si>
    <t>383,Male,35,Los Angeles,Silver,820.9,12,4.3,FALSE,15,Neutral</t>
  </si>
  <si>
    <t>384,Female,41,Chicago,Bronze,495.25,9,3.6,TRUE,43,Unsatisfied</t>
  </si>
  <si>
    <t>385,Male,28,San Francisco,Gold,1490.1,21,4.9,FALSE,10,Satisfied</t>
  </si>
  <si>
    <t>386,Male,32,Miami,Silver,660.3,10,3.8,TRUE,37,Unsatisfied</t>
  </si>
  <si>
    <t>387,Female,36,Houston,Bronze,440.5,8,3.1,FALSE,23,Neutral</t>
  </si>
  <si>
    <t>388,Female,30,New York,Gold,1200.8,16,4.7,TRUE,24,Satisfied</t>
  </si>
  <si>
    <t>389,Male,34,Los Angeles,Silver,780.2,11,4.1,FALSE,16,Neutral</t>
  </si>
  <si>
    <t>390,Female,43,Chicago,Bronze,505.75,10,3.3,TRUE,44,Unsatisfied</t>
  </si>
  <si>
    <t>391,Male,30,San Francisco,Gold,1460.5,20,4.8,FALSE,13,Satisfied</t>
  </si>
  <si>
    <t>392,Male,27,Miami,Silver,710.4,13,4.1,TRUE,59,Unsatisfied</t>
  </si>
  <si>
    <t>393,Female,37,Houston,Bronze,450.8,7,3.4,FALSE,28,Neutral</t>
  </si>
  <si>
    <t>394,Female,31,New York,Gold,1140.6,15,4.5,TRUE,32,Satisfied</t>
  </si>
  <si>
    <t>395,Male,35,Los Angeles,Silver,800.9,12,4.1,FALSE,17,Neutral</t>
  </si>
  <si>
    <t>396,Female,41,Chicago,Bronze,475.25,9,3.6,TRUE,44,Unsatisfied</t>
  </si>
  <si>
    <t>397,Male,28,San Francisco,Gold,1480.1,21,4.9,FALSE,12,Satisfied</t>
  </si>
  <si>
    <t>398,Male,32,Miami,Silver,660.3,10,3.8,TRUE,38,Unsatisfied</t>
  </si>
  <si>
    <t>399,Female,36,Houston,Bronze,470.5,8,3,FALSE,22,Neutral</t>
  </si>
  <si>
    <t>400,Female,30,New York,Gold,1190.8,16,4.5,TRUE,25,Satisfied</t>
  </si>
  <si>
    <t>401,Male,33,Los Angeles,Silver,800.2,11,4.1,FALSE,18,Neutral</t>
  </si>
  <si>
    <t>402,Female,43,Chicago,Bronze,515.75,10,3.3,TRUE,45,Unsatisfied</t>
  </si>
  <si>
    <t>403,Male,30,San Francisco,Gold,1450.5,19,4.6,FALSE,13,Satisfied</t>
  </si>
  <si>
    <t>404,Male,27,Miami,Silver,710.4,13,4.1,TRUE,60,Unsatisfied</t>
  </si>
  <si>
    <t>405,Female,37,Houston,Bronze,430.8,7,3.4,FALSE,29,Neutral</t>
  </si>
  <si>
    <t>406,Female,31,New York,Gold,1160.6,15,4.5,TRUE,33,Satisfied</t>
  </si>
  <si>
    <t>407,Male,35,Los Angeles,Silver,820.9,12,4.3,FALSE,16,Neutral</t>
  </si>
  <si>
    <t>408,Female,41,Chicago,Bronze,495.25,9,3.6,TRUE,45,Unsatisfied</t>
  </si>
  <si>
    <t>409,Male,28,San Francisco,Gold,1490.1,21,4.9,FALSE,11,Satisfied</t>
  </si>
  <si>
    <t>410,Male,32,Miami,Silver,660.3,10,3.8,TRUE,39,Unsatisfied</t>
  </si>
  <si>
    <t>411,Female,36,Houston,Bronze,440.5,8,3.1,FALSE,24,Neutral</t>
  </si>
  <si>
    <t>412,Female,30,New York,Gold,1200.8,16,4.7,TRUE,25,Satisfied</t>
  </si>
  <si>
    <t>413,Male,34,Los Angeles,Silver,780.2,11,4.1,FALSE,17,Neutral</t>
  </si>
  <si>
    <t>414,Female,43,Chicago,Bronze,505.75,10,3.3,TRUE,46,Unsatisfied</t>
  </si>
  <si>
    <t>415,Male,30,San Francisco,Gold,1460.5,20,4.8,FALSE,14,Satisfied</t>
  </si>
  <si>
    <t>416,Male,27,Miami,Silver,710.4,13,4.1,TRUE,61,Unsatisfied</t>
  </si>
  <si>
    <t>417,Female,37,Houston,Bronze,450.8,7,3.4,FALSE,30,Neutral</t>
  </si>
  <si>
    <t>418,Female,31,New York,Gold,1140.6,15,4.5,TRUE,34,Satisfied</t>
  </si>
  <si>
    <t>419,Male,35,Los Angeles,Silver,800.9,12,4.1,FALSE,19,Neutral</t>
  </si>
  <si>
    <t>420,Female,41,Chicago,Bronze,475.25,9,3.6,TRUE,46,Unsatisfied</t>
  </si>
  <si>
    <t>421,Male,28,San Francisco,Gold,1480.1,21,4.9,FALSE,12,Satisfied</t>
  </si>
  <si>
    <t>422,Male,32,Miami,Silver,660.3,10,3.8,TRUE,40,Unsatisfied</t>
  </si>
  <si>
    <t>423,Female,36,Houston,Bronze,470.5,8,3,FALSE,26,Neutral</t>
  </si>
  <si>
    <t>424,Female,30,New York,Gold,1190.8,16,4.5,TRUE,27,Satisfied</t>
  </si>
  <si>
    <t>425,Male,34,Los Angeles,Silver,780.2,11,4.2,FALSE,18,Neutral</t>
  </si>
  <si>
    <t>426,Female,43,Chicago,Bronze,515.75,10,3.3,TRUE,47,Unsatisfied</t>
  </si>
  <si>
    <t>427,Male,30,San Francisco,Gold,1450.5,19,4.6,FALSE,14,Satisfied</t>
  </si>
  <si>
    <t>428,Male,27,Miami,Silver,710.4,13,4.1,TRUE,62,Unsatisfied</t>
  </si>
  <si>
    <t>429,Female,37,Houston,Bronze,430.8,7,3.4,FALSE,31,Neutral</t>
  </si>
  <si>
    <t>430,Female,31,New York,Gold,1160.6,15,4.5,TRUE,35,Satisfied</t>
  </si>
  <si>
    <t>431,Male,35,Los Angeles,Silver,820.9,12,4.3,FALSE,20,Neutral</t>
  </si>
  <si>
    <t>432,Female,41,Chicago,Bronze,495.25,9,3.6,TRUE,47,Unsatisfied</t>
  </si>
  <si>
    <t>433,Male,28,San Francisco,Gold,1490.1,21,4.9,FALSE,11,Satisfied</t>
  </si>
  <si>
    <t>434,Male,32,Miami,Silver,660.3,10,3.8,TRUE,41,Unsatisfied</t>
  </si>
  <si>
    <t>435,Female,36,Houston,Bronze,440.5,8,3.1,FALSE,28,Neutral</t>
  </si>
  <si>
    <t>436,Female,30,New York,Gold,1200.8,16,4.7,TRUE,28,Satisfied</t>
  </si>
  <si>
    <t>437,Male,34,Los Angeles,Silver,780.2,11,4.1,FALSE,19,Neutral</t>
  </si>
  <si>
    <t>438,Female,43,Chicago,Bronze,505.75,10,3.3,TRUE,48,Unsatisfied</t>
  </si>
  <si>
    <t>439,Male,30,San Francisco,Gold,1460.5,20,4.8,FALSE,15,Satisfied</t>
  </si>
  <si>
    <t>440,Male,27,Miami,Silver,710.4,13,4.1,TRUE,63,Unsatisfied</t>
  </si>
  <si>
    <t>441,Female,37,Houston,Bronze,450.8,7,3.4,FALSE,32,Neutral</t>
  </si>
  <si>
    <t>442,Female,31,New York,Gold,1140.6,15,4.5,TRUE,36,Satisfied</t>
  </si>
  <si>
    <t>443,Male,35,Los Angeles,Silver,800.9,12,4.1,FALSE,20,Neutral</t>
  </si>
  <si>
    <t>444,Female,41,Chicago,Bronze,475.25,9,3.6,TRUE,48,Unsatisfied</t>
  </si>
  <si>
    <t>445,Male,28,San Francisco,Gold,1480.1,21,4.9,FALSE,13,Satisfied</t>
  </si>
  <si>
    <t>446,Male,32,Miami,Silver,660.3,10,3.8,TRUE,42,Unsatisfied</t>
  </si>
  <si>
    <t>447,Female,36,Houston,Bronze,470.5,8,3,FALSE,27,Neutral</t>
  </si>
  <si>
    <t>448,Female,30,New York,Gold,1190.8,16,4.5,TRUE,28,Satisfied</t>
  </si>
  <si>
    <t>449,Male,34,Los Angeles,Silver,780.2,11,4.2,FALSE,21,Neutral</t>
  </si>
  <si>
    <t>450,Female,43,Chicago,Bronze,515.75,10,3.3,TRUE,49,Unsatisfied</t>
  </si>
  <si>
    <t>Customer ID</t>
  </si>
  <si>
    <t>Gender</t>
  </si>
  <si>
    <t>Age</t>
  </si>
  <si>
    <t>City</t>
  </si>
  <si>
    <t>Membership Type</t>
  </si>
  <si>
    <t>Total Spend</t>
  </si>
  <si>
    <t>Items Purchased</t>
  </si>
  <si>
    <t>Average Rating</t>
  </si>
  <si>
    <t>DiscountApplied</t>
  </si>
  <si>
    <t>Days Since Last Purchase</t>
  </si>
  <si>
    <t>Satisfaction Level</t>
  </si>
  <si>
    <t>Female</t>
  </si>
  <si>
    <t>New York</t>
  </si>
  <si>
    <t>Gold</t>
  </si>
  <si>
    <t>Satisfied</t>
  </si>
  <si>
    <t>Male</t>
  </si>
  <si>
    <t>Los Angeles</t>
  </si>
  <si>
    <t>Silver</t>
  </si>
  <si>
    <t>Neutral</t>
  </si>
  <si>
    <t>Chicago</t>
  </si>
  <si>
    <t>Bronze</t>
  </si>
  <si>
    <t>Unsatisfied</t>
  </si>
  <si>
    <t>San Francisco</t>
  </si>
  <si>
    <t>Miami</t>
  </si>
  <si>
    <t>Houston</t>
  </si>
  <si>
    <t>N/A</t>
  </si>
  <si>
    <t>Total</t>
  </si>
  <si>
    <t>Suma de Total Spend</t>
  </si>
  <si>
    <t>Tickets</t>
  </si>
  <si>
    <t>Promedio de Age</t>
  </si>
  <si>
    <t>Promedio_Total_Spend</t>
  </si>
  <si>
    <t>Total_Spend</t>
  </si>
  <si>
    <t>Promedio_Last Purchase</t>
  </si>
  <si>
    <t>Suma de Items Purchased</t>
  </si>
  <si>
    <t>Total general</t>
  </si>
  <si>
    <t>Recuento de Satisfaction Level</t>
  </si>
  <si>
    <t>Promedio de Total Spend</t>
  </si>
  <si>
    <t>Suma de benchmark</t>
  </si>
  <si>
    <t>25-29</t>
  </si>
  <si>
    <t>30-34</t>
  </si>
  <si>
    <t>35-39</t>
  </si>
  <si>
    <t>40-45</t>
  </si>
  <si>
    <t>Suma de Customer ID</t>
  </si>
  <si>
    <t>Bronze total</t>
  </si>
  <si>
    <t>Gold total</t>
  </si>
  <si>
    <t>Silver 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</si>
</sst>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-* #,##0_-;\-* #,##0_-;_-* &quot;-&quot;_-;_-@_-"/>
    <numFmt numFmtId="43" formatCode="_-* #,##0.00_-;\-* #,##0.00_-;_-* &quot;-&quot;??_-;_-@_-"/>
    <numFmt numFmtId="176" formatCode="_-* #,##0.00\ &quot;€&quot;_-;\-* #,##0.00\ &quot;€&quot;_-;_-* \-??\ &quot;€&quot;_-;_-@_-"/>
    <numFmt numFmtId="177" formatCode="_-* #,##0\ &quot;€&quot;_-;\-* #,##0\ &quot;€&quot;_-;_-* &quot;-&quot;\ &quot;€&quot;_-;_-@_-"/>
    <numFmt numFmtId="178" formatCode="#,##0.00_ "/>
    <numFmt numFmtId="179" formatCode="#,##0_ "/>
    <numFmt numFmtId="180" formatCode="0.00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1" tint="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2" borderId="0" xfId="0" applyFill="1">
      <alignment vertical="center"/>
    </xf>
    <xf numFmtId="178" fontId="0" fillId="0" borderId="0" xfId="0" applyNumberFormat="1">
      <alignment vertical="center"/>
    </xf>
    <xf numFmtId="179" fontId="0" fillId="0" borderId="0" xfId="0" applyNumberFormat="1">
      <alignment vertical="center"/>
    </xf>
    <xf numFmtId="180" fontId="0" fillId="0" borderId="0" xfId="0" applyNumberFormat="1">
      <alignment vertical="center"/>
    </xf>
    <xf numFmtId="10" fontId="0" fillId="0" borderId="0" xfId="0" applyNumberFormat="1">
      <alignment vertical="center"/>
    </xf>
    <xf numFmtId="0" fontId="0" fillId="0" borderId="0" xfId="0" applyAlignment="1">
      <alignment horizontal="left" vertical="center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39">
    <dxf>
      <alignment horizontal="left"/>
    </dxf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0"/>
      </font>
      <fill>
        <patternFill patternType="solid">
          <fgColor theme="6"/>
          <bgColor theme="6"/>
        </patternFill>
      </fill>
    </dxf>
    <dxf>
      <font>
        <b val="1"/>
        <color theme="0"/>
      </font>
      <fill>
        <patternFill patternType="solid">
          <fgColor theme="6"/>
          <bgColor theme="6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fill>
        <patternFill patternType="solid">
          <fgColor theme="6" tint="0.799981688894314"/>
          <bgColor theme="6" tint="0.799981688894314"/>
        </patternFill>
      </fill>
    </dxf>
    <dxf>
      <border>
        <left style="thin">
          <color theme="6" tint="0.399975585192419"/>
        </left>
        <right style="thin">
          <color theme="6" tint="0.399975585192419"/>
        </right>
      </border>
    </dxf>
    <dxf>
      <border>
        <top style="thin">
          <color theme="6" tint="0.399975585192419"/>
        </top>
        <bottom style="thin">
          <color theme="6" tint="0.399975585192419"/>
        </bottom>
        <horizontal style="thin">
          <color theme="6" tint="0.399975585192419"/>
        </horizontal>
      </border>
    </dxf>
    <dxf>
      <fill>
        <patternFill patternType="solid">
          <fgColor theme="6" tint="0.599993896298105"/>
          <bgColor theme="6" tint="0.599993896298105"/>
        </patternFill>
      </fill>
    </dxf>
    <dxf>
      <font>
        <b val="1"/>
        <color theme="1"/>
      </font>
      <border>
        <top style="thin">
          <color theme="6" tint="-0.249977111117893"/>
        </top>
        <bottom style="medium">
          <color theme="6" tint="-0.249977111117893"/>
        </bottom>
      </border>
    </dxf>
    <dxf>
      <font>
        <b val="1"/>
        <color theme="0"/>
      </font>
      <fill>
        <patternFill patternType="solid">
          <fgColor theme="6"/>
          <bgColor theme="6"/>
        </patternFill>
      </fill>
      <border>
        <top style="medium">
          <color theme="6" tint="-0.249977111117893"/>
        </top>
      </border>
    </dxf>
    <dxf>
      <font>
        <color theme="1"/>
      </font>
    </dxf>
    <dxf>
      <font>
        <b val="1"/>
        <color theme="0"/>
      </font>
      <fill>
        <patternFill patternType="solid">
          <fgColor theme="6"/>
          <bgColor theme="6"/>
        </patternFill>
      </fill>
    </dxf>
    <dxf>
      <font>
        <b val="1"/>
        <color theme="1"/>
      </font>
    </dxf>
    <dxf>
      <font>
        <b val="1"/>
      </font>
    </dxf>
    <dxf>
      <fill>
        <patternFill patternType="solid">
          <fgColor theme="6" tint="0.799981688894314"/>
          <bgColor theme="6" tint="0.799981688894314"/>
        </patternFill>
      </fill>
    </dxf>
    <dxf>
      <fill>
        <patternFill patternType="solid">
          <fgColor theme="6" tint="0.799981688894314"/>
          <bgColor theme="6" tint="0.799981688894314"/>
        </patternFill>
      </fill>
    </dxf>
    <dxf>
      <font>
        <b val="1"/>
        <color theme="0"/>
      </font>
      <fill>
        <patternFill patternType="solid">
          <fgColor theme="6"/>
          <bgColor theme="6"/>
        </patternFill>
      </fill>
    </dxf>
    <dxf>
      <font>
        <color theme="1"/>
      </font>
      <fill>
        <patternFill patternType="solid">
          <fgColor theme="6" tint="0.599993896298105"/>
          <bgColor theme="6" tint="0.599993896298105"/>
        </patternFill>
      </fill>
      <border>
        <vertical style="thin">
          <color theme="0"/>
        </vertical>
      </border>
    </dxf>
  </dxfs>
  <tableStyles count="4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  <tableStyle name="PivotStylePreset5_Accent3" table="0" count="13" xr9:uid="{5AAABF46-8F5C-4A63-A8C5-246345087611}">
      <tableStyleElement type="wholeTable" dxfId="31"/>
      <tableStyleElement type="headerRow" dxfId="30"/>
      <tableStyleElement type="totalRow" dxfId="29"/>
      <tableStyleElement type="firstColumn" dxfId="28"/>
      <tableStyleElement type="firstRowStripe" dxfId="27"/>
      <tableStyleElement type="firstColumnStripe" dxfId="26"/>
      <tableStyleElement type="firstSubtotalColumn" dxfId="25"/>
      <tableStyleElement type="firstSubtotalRow" dxfId="24"/>
      <tableStyleElement type="secondSubtotalRow" dxfId="23"/>
      <tableStyleElement type="firstRowSubheading" dxfId="22"/>
      <tableStyleElement type="secondRowSubheading" dxfId="21"/>
      <tableStyleElement type="pageFieldLabels" dxfId="20"/>
      <tableStyleElement type="pageFieldValues" dxfId="19"/>
    </tableStyle>
    <tableStyle name="PivotStylePreset6_Accent3" table="0" count="7" xr9:uid="{A5D1930E-C6B5-4983-9EF3-0E227CA296F8}">
      <tableStyleElement type="wholeTable" dxfId="38"/>
      <tableStyleElement type="firstColumn" dxfId="37"/>
      <tableStyleElement type="firstRowStripe" dxfId="36"/>
      <tableStyleElement type="firstColumnStripe" dxfId="35"/>
      <tableStyleElement type="firstSubtotalColumn" dxfId="34"/>
      <tableStyleElement type="firstSubtotalRow" dxfId="33"/>
      <tableStyleElement type="pageFieldLabels" dxfId="32"/>
    </tableStyle>
  </tableStyles>
  <colors>
    <mruColors>
      <color rgb="00575D8D"/>
      <color rgb="002D421E"/>
      <color rgb="00004372"/>
      <color rgb="002F9176"/>
      <color rgb="003DA97C"/>
      <color rgb="00005D9E"/>
      <color rgb="00359064"/>
      <color rgb="0055BF8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microsoft.com/office/2007/relationships/slicerCache" Target="slicerCaches/slicerCache3.xml"/><Relationship Id="rId7" Type="http://schemas.microsoft.com/office/2007/relationships/slicerCache" Target="slicerCaches/slicerCache2.xml"/><Relationship Id="rId6" Type="http://schemas.microsoft.com/office/2007/relationships/slicerCache" Target="slicerCaches/slicerCach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[E-commerce Customer Behavior - Sheet1.xlsx]analisis!generXtotal</c:name>
    <c:fmtId val="4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analisis!$B$3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4372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</c:dPt>
          <c:dLbls>
            <c:dLbl>
              <c:idx val="0"/>
              <c:layout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5619954460774"/>
                      <c:h val="0.213973799126638"/>
                    </c:manualLayout>
                  </c15:layout>
                </c:ext>
              </c:extLst>
            </c:dLbl>
            <c:dLbl>
              <c:idx val="1"/>
              <c:layout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94762989029187"/>
                      <c:h val="0.213973799126638"/>
                    </c:manualLayout>
                  </c15:layout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s-ES"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analisis!$A$4:$A$6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analisis!$B$4:$B$6</c:f>
              <c:numCache>
                <c:formatCode>#,##0.00_ </c:formatCode>
                <c:ptCount val="2"/>
                <c:pt idx="0">
                  <c:v>123170</c:v>
                </c:pt>
                <c:pt idx="1">
                  <c:v>172713.6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1449353"/>
        <c:axId val="908475193"/>
      </c:barChart>
      <c:catAx>
        <c:axId val="20144935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s-ES"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</a:p>
        </c:txPr>
        <c:crossAx val="908475193"/>
        <c:crosses val="autoZero"/>
        <c:auto val="1"/>
        <c:lblAlgn val="ctr"/>
        <c:lblOffset val="100"/>
        <c:noMultiLvlLbl val="0"/>
      </c:catAx>
      <c:valAx>
        <c:axId val="908475193"/>
        <c:scaling>
          <c:orientation val="minMax"/>
        </c:scaling>
        <c:delete val="1"/>
        <c:axPos val="l"/>
        <c:numFmt formatCode="#,##0.00_ 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s-ES"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</a:p>
        </c:txPr>
        <c:crossAx val="20144935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5e27a9d-f9db-4e6d-81a1-a1caee4dc340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s-ES" sz="1400">
          <a:solidFill>
            <a:sysClr val="windowText" lastClr="000000"/>
          </a:solidFill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[E-commerce Customer Behavior - Sheet1.xlsx]analisis!Satisfaccion</c:name>
    <c:fmtId val="2"/>
  </c:pivotSource>
  <c:chart>
    <c:autoTitleDeleted val="1"/>
    <c:plotArea>
      <c:layout>
        <c:manualLayout>
          <c:layoutTarget val="inner"/>
          <c:xMode val="edge"/>
          <c:yMode val="edge"/>
          <c:x val="0.00697026022304833"/>
          <c:y val="0.0172711571675302"/>
          <c:w val="0.942068785144501"/>
          <c:h val="0.819160211985324"/>
        </c:manualLayout>
      </c:layout>
      <c:lineChart>
        <c:grouping val="standard"/>
        <c:varyColors val="0"/>
        <c:ser>
          <c:idx val="0"/>
          <c:order val="0"/>
          <c:tx>
            <c:strRef>
              <c:f>analisis!$B$9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s-ES"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analisis!$A$10:$A$14</c:f>
              <c:strCache>
                <c:ptCount val="4"/>
                <c:pt idx="0">
                  <c:v>N/A</c:v>
                </c:pt>
                <c:pt idx="1">
                  <c:v>Neutral</c:v>
                </c:pt>
                <c:pt idx="2">
                  <c:v>Satisfied</c:v>
                </c:pt>
                <c:pt idx="3">
                  <c:v>Unsatisfied</c:v>
                </c:pt>
              </c:strCache>
            </c:strRef>
          </c:cat>
          <c:val>
            <c:numRef>
              <c:f>analisis!$B$10:$B$14</c:f>
              <c:numCache>
                <c:formatCode>General</c:formatCode>
                <c:ptCount val="4"/>
                <c:pt idx="0">
                  <c:v>2</c:v>
                </c:pt>
                <c:pt idx="1">
                  <c:v>107</c:v>
                </c:pt>
                <c:pt idx="2">
                  <c:v>125</c:v>
                </c:pt>
                <c:pt idx="3">
                  <c:v>116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285851132"/>
        <c:axId val="638695362"/>
      </c:lineChart>
      <c:catAx>
        <c:axId val="28585113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s-ES" sz="8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638695362"/>
        <c:crosses val="autoZero"/>
        <c:auto val="1"/>
        <c:lblAlgn val="ctr"/>
        <c:lblOffset val="100"/>
        <c:noMultiLvlLbl val="0"/>
      </c:catAx>
      <c:valAx>
        <c:axId val="638695362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858511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b818e2d-6b6e-4901-b8e4-23215d931c71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s-E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[E-commerce Customer Behavior - Sheet1.xlsx]analisis!Tabla 
dinámica4</c:name>
    <c:fmtId val="2"/>
  </c:pivotSource>
  <c:chart>
    <c:autoTitleDeleted val="1"/>
    <c:plotArea>
      <c:layout>
        <c:manualLayout>
          <c:layoutTarget val="inner"/>
          <c:xMode val="edge"/>
          <c:yMode val="edge"/>
          <c:x val="0.0287468966418398"/>
          <c:y val="0.0469907407407407"/>
          <c:w val="0.94250620671632"/>
          <c:h val="0.8371296296296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analisis!$B$16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75000">
                  <a:srgbClr val="3DA97C"/>
                </a:gs>
                <a:gs pos="46000">
                  <a:srgbClr val="359064"/>
                </a:gs>
                <a:gs pos="100000">
                  <a:srgbClr val="55BF89"/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s-ES" sz="12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analisis!$A$17:$A$21</c:f>
              <c:strCache>
                <c:ptCount val="4"/>
                <c:pt idx="0">
                  <c:v>25-29</c:v>
                </c:pt>
                <c:pt idx="1">
                  <c:v>30-34</c:v>
                </c:pt>
                <c:pt idx="2">
                  <c:v>35-39</c:v>
                </c:pt>
                <c:pt idx="3">
                  <c:v>40-45</c:v>
                </c:pt>
              </c:strCache>
            </c:strRef>
          </c:cat>
          <c:val>
            <c:numRef>
              <c:f>analisis!$B$17:$B$21</c:f>
              <c:numCache>
                <c:formatCode>#,##0.00_ </c:formatCode>
                <c:ptCount val="4"/>
                <c:pt idx="0">
                  <c:v>73980.7</c:v>
                </c:pt>
                <c:pt idx="1">
                  <c:v>146017.4</c:v>
                </c:pt>
                <c:pt idx="2">
                  <c:v>46892.3</c:v>
                </c:pt>
                <c:pt idx="3">
                  <c:v>28993.2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41567279"/>
        <c:axId val="975644503"/>
      </c:barChart>
      <c:catAx>
        <c:axId val="34156727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s-ES" sz="12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975644503"/>
        <c:crosses val="autoZero"/>
        <c:auto val="1"/>
        <c:lblAlgn val="ctr"/>
        <c:lblOffset val="100"/>
        <c:noMultiLvlLbl val="0"/>
      </c:catAx>
      <c:valAx>
        <c:axId val="975644503"/>
        <c:scaling>
          <c:orientation val="minMax"/>
        </c:scaling>
        <c:delete val="1"/>
        <c:axPos val="l"/>
        <c:numFmt formatCode="#,##0.00_ 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1567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f8cd0783-9ef0-4e07-8e1c-ef364d087c46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s-E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[E-commerce Customer Behavior - Sheet1.xlsx]analisis!Ventas_por_ciudad</c:name>
    <c:fmtId val="2"/>
  </c:pivotSource>
  <c:chart>
    <c:autoTitleDeleted val="1"/>
    <c:plotArea>
      <c:layout>
        <c:manualLayout>
          <c:layoutTarget val="inner"/>
          <c:xMode val="edge"/>
          <c:yMode val="edge"/>
          <c:x val="0.0985462892119357"/>
          <c:y val="0.0558292282430213"/>
          <c:w val="0.792960979342004"/>
          <c:h val="0.80744389709906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analisis!$E$9</c:f>
              <c:strCache>
                <c:ptCount val="1"/>
                <c:pt idx="0">
                  <c:v>Suma de Total Spend</c:v>
                </c:pt>
              </c:strCache>
            </c:strRef>
          </c:tx>
          <c:spPr>
            <a:solidFill>
              <a:schemeClr val="accent1">
                <a:tint val="65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analisis!$D$10:$D$16</c:f>
              <c:strCache>
                <c:ptCount val="6"/>
                <c:pt idx="0">
                  <c:v>Chicago</c:v>
                </c:pt>
                <c:pt idx="1">
                  <c:v>Houston</c:v>
                </c:pt>
                <c:pt idx="2">
                  <c:v>Los Angeles</c:v>
                </c:pt>
                <c:pt idx="3">
                  <c:v>Miami</c:v>
                </c:pt>
                <c:pt idx="4">
                  <c:v>New York</c:v>
                </c:pt>
                <c:pt idx="5">
                  <c:v>San Francisco</c:v>
                </c:pt>
              </c:strCache>
            </c:strRef>
          </c:cat>
          <c:val>
            <c:numRef>
              <c:f>analisis!$E$10:$E$16</c:f>
              <c:numCache>
                <c:formatCode>#,##0.00_ </c:formatCode>
                <c:ptCount val="6"/>
                <c:pt idx="0">
                  <c:v>28993.2</c:v>
                </c:pt>
                <c:pt idx="1">
                  <c:v>25919.9</c:v>
                </c:pt>
                <c:pt idx="2">
                  <c:v>47524</c:v>
                </c:pt>
                <c:pt idx="3">
                  <c:v>40042.6</c:v>
                </c:pt>
                <c:pt idx="4">
                  <c:v>68737.1</c:v>
                </c:pt>
                <c:pt idx="5">
                  <c:v>84666.8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0"/>
        <c:axId val="388594593"/>
        <c:axId val="659173256"/>
      </c:barChart>
      <c:lineChart>
        <c:grouping val="standard"/>
        <c:varyColors val="0"/>
        <c:ser>
          <c:idx val="1"/>
          <c:order val="1"/>
          <c:tx>
            <c:strRef>
              <c:f>analisis!$F$9</c:f>
              <c:strCache>
                <c:ptCount val="1"/>
                <c:pt idx="0">
                  <c:v>Promedio de Total Spend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0"/>
                  <c:y val="-0.054734537493158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-0.0236091376106678"/>
                  <c:y val="-0.118500273672687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0.0109301563012351"/>
                  <c:y val="-0.073070607553366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-0.0273253907530878"/>
                  <c:y val="-0.12780514504652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-0.047327576784348"/>
                  <c:y val="-0.0867542419266557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-0.0454694502131381"/>
                  <c:y val="-0.080344736991112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s-ES"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analisis!$D$10:$D$16</c:f>
              <c:strCache>
                <c:ptCount val="6"/>
                <c:pt idx="0">
                  <c:v>Chicago</c:v>
                </c:pt>
                <c:pt idx="1">
                  <c:v>Houston</c:v>
                </c:pt>
                <c:pt idx="2">
                  <c:v>Los Angeles</c:v>
                </c:pt>
                <c:pt idx="3">
                  <c:v>Miami</c:v>
                </c:pt>
                <c:pt idx="4">
                  <c:v>New York</c:v>
                </c:pt>
                <c:pt idx="5">
                  <c:v>San Francisco</c:v>
                </c:pt>
              </c:strCache>
            </c:strRef>
          </c:cat>
          <c:val>
            <c:numRef>
              <c:f>analisis!$F$10:$F$16</c:f>
              <c:numCache>
                <c:formatCode>#,##0.00_ </c:formatCode>
                <c:ptCount val="6"/>
                <c:pt idx="0">
                  <c:v>499.88275862069</c:v>
                </c:pt>
                <c:pt idx="1">
                  <c:v>446.894827586207</c:v>
                </c:pt>
                <c:pt idx="2">
                  <c:v>805.491525423729</c:v>
                </c:pt>
                <c:pt idx="3">
                  <c:v>690.389655172414</c:v>
                </c:pt>
                <c:pt idx="4">
                  <c:v>1165.03559322034</c:v>
                </c:pt>
                <c:pt idx="5">
                  <c:v>1459.7724137931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analisis!$G$9</c:f>
              <c:strCache>
                <c:ptCount val="1"/>
                <c:pt idx="0">
                  <c:v>Suma de benchmark</c:v>
                </c:pt>
              </c:strCache>
            </c:strRef>
          </c:tx>
          <c:spPr>
            <a:ln w="2857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analisis!$D$10:$D$16</c:f>
              <c:strCache>
                <c:ptCount val="6"/>
                <c:pt idx="0">
                  <c:v>Chicago</c:v>
                </c:pt>
                <c:pt idx="1">
                  <c:v>Houston</c:v>
                </c:pt>
                <c:pt idx="2">
                  <c:v>Los Angeles</c:v>
                </c:pt>
                <c:pt idx="3">
                  <c:v>Miami</c:v>
                </c:pt>
                <c:pt idx="4">
                  <c:v>New York</c:v>
                </c:pt>
                <c:pt idx="5">
                  <c:v>San Francisco</c:v>
                </c:pt>
              </c:strCache>
            </c:strRef>
          </c:cat>
          <c:val>
            <c:numRef>
              <c:f>analisis!$G$10:$G$16</c:f>
              <c:numCache>
                <c:formatCode>General</c:formatCode>
                <c:ptCount val="6"/>
                <c:pt idx="0">
                  <c:v>845</c:v>
                </c:pt>
                <c:pt idx="1">
                  <c:v>845</c:v>
                </c:pt>
                <c:pt idx="2">
                  <c:v>845</c:v>
                </c:pt>
                <c:pt idx="3">
                  <c:v>845</c:v>
                </c:pt>
                <c:pt idx="4">
                  <c:v>845</c:v>
                </c:pt>
                <c:pt idx="5">
                  <c:v>845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768622651"/>
        <c:axId val="832117608"/>
      </c:lineChart>
      <c:catAx>
        <c:axId val="76862265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s-ES" sz="10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832117608"/>
        <c:crosses val="autoZero"/>
        <c:auto val="1"/>
        <c:lblAlgn val="ctr"/>
        <c:lblOffset val="100"/>
        <c:noMultiLvlLbl val="0"/>
      </c:catAx>
      <c:valAx>
        <c:axId val="832117608"/>
        <c:scaling>
          <c:orientation val="minMax"/>
        </c:scaling>
        <c:delete val="0"/>
        <c:axPos val="l"/>
        <c:numFmt formatCode="#,##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768622651"/>
        <c:crosses val="autoZero"/>
        <c:crossBetween val="between"/>
      </c:valAx>
      <c:catAx>
        <c:axId val="388594593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659173256"/>
        <c:crosses val="autoZero"/>
        <c:auto val="1"/>
        <c:lblAlgn val="ctr"/>
        <c:lblOffset val="100"/>
        <c:noMultiLvlLbl val="0"/>
      </c:catAx>
      <c:valAx>
        <c:axId val="659173256"/>
        <c:scaling>
          <c:orientation val="minMax"/>
        </c:scaling>
        <c:delete val="0"/>
        <c:axPos val="r"/>
        <c:numFmt formatCode="#,##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388594593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0ac7152f-6931-44ad-a833-1f151ca3b16b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s-ES">
          <a:solidFill>
            <a:schemeClr val="bg1"/>
          </a:solidFill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[E-commerce Customer Behavior - Sheet1.xlsx]analisis!Tabla 
dinámica6</c:name>
    <c:fmtId val="2"/>
  </c:pivotSource>
  <c:chart>
    <c:autoTitleDeleted val="1"/>
    <c:plotArea>
      <c:layout>
        <c:manualLayout>
          <c:layoutTarget val="inner"/>
          <c:xMode val="edge"/>
          <c:yMode val="edge"/>
          <c:x val="0.203514427860697"/>
          <c:y val="0.0625091479351803"/>
          <c:w val="0.592971144278607"/>
          <c:h val="0.778797699947726"/>
        </c:manualLayout>
      </c:layout>
      <c:doughnutChart>
        <c:varyColors val="1"/>
        <c:ser>
          <c:idx val="0"/>
          <c:order val="0"/>
          <c:tx>
            <c:strRef>
              <c:f>analisis!$E$21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5">
                  <a:tint val="65000"/>
                </a:schemeClr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rgbClr val="00437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5">
                  <a:shade val="65000"/>
                </a:schemeClr>
              </a:solidFill>
              <a:ln>
                <a:noFill/>
              </a:ln>
              <a:effectLst/>
            </c:spPr>
          </c:dPt>
          <c:dLbls>
            <c:dLbl>
              <c:idx val="0"/>
              <c:layout>
                <c:manualLayout>
                  <c:x val="0.1875"/>
                  <c:y val="-0.0555555555555556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0.22025137470542"/>
                  <c:y val="0.0711251960271824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0.169818669808851"/>
                  <c:y val="-0.0976033861880699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s-ES"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1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analisis!$D$22:$D$25</c:f>
              <c:strCache>
                <c:ptCount val="3"/>
                <c:pt idx="0">
                  <c:v>Bronze</c:v>
                </c:pt>
                <c:pt idx="1">
                  <c:v>Gold</c:v>
                </c:pt>
                <c:pt idx="2">
                  <c:v>Silver</c:v>
                </c:pt>
              </c:strCache>
            </c:strRef>
          </c:cat>
          <c:val>
            <c:numRef>
              <c:f>analisis!$E$22:$E$25</c:f>
              <c:numCache>
                <c:formatCode>0.00%</c:formatCode>
                <c:ptCount val="3"/>
                <c:pt idx="0">
                  <c:v>0.185590211826543</c:v>
                </c:pt>
                <c:pt idx="1">
                  <c:v>0.518460299928756</c:v>
                </c:pt>
                <c:pt idx="2">
                  <c:v>0.295949488244702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1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3401e027-8da8-4ffe-9843-82a892b0233f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s-ES">
          <a:solidFill>
            <a:schemeClr val="bg1"/>
          </a:solidFill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[E-commerce Customer Behavior - Sheet1.csv]analisis!Tabla 
dinámica8</c:name>
    <c:fmtId val="2"/>
  </c:pivotSource>
  <c:chart>
    <c:autoTitleDeleted val="1"/>
    <c:plotArea>
      <c:layout/>
      <c:lineChart>
        <c:grouping val="stacked"/>
        <c:varyColors val="0"/>
        <c:ser>
          <c:idx val="0"/>
          <c:order val="0"/>
          <c:tx>
            <c:strRef>
              <c:f>analisis!$F$27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multiLvlStrRef>
              <c:f>analisis!$D$28:$E$37</c:f>
              <c:multiLvlStrCache>
                <c:ptCount val="6"/>
                <c:lvl>
                  <c:pt idx="0">
                    <c:v>Chicago</c:v>
                  </c:pt>
                  <c:pt idx="1">
                    <c:v>Houston</c:v>
                  </c:pt>
                  <c:pt idx="2">
                    <c:v>New York</c:v>
                  </c:pt>
                  <c:pt idx="3">
                    <c:v>San Francisco</c:v>
                  </c:pt>
                  <c:pt idx="4">
                    <c:v>Los Angeles</c:v>
                  </c:pt>
                  <c:pt idx="5">
                    <c:v>Miami</c:v>
                  </c:pt>
                </c:lvl>
                <c:lvl>
                  <c:pt idx="0">
                    <c:v>Bronze</c:v>
                  </c:pt>
                  <c:pt idx="2">
                    <c:v>Gold</c:v>
                  </c:pt>
                  <c:pt idx="4">
                    <c:v>Silver</c:v>
                  </c:pt>
                </c:lvl>
              </c:multiLvlStrCache>
            </c:multiLvlStrRef>
          </c:cat>
          <c:val>
            <c:numRef>
              <c:f>analisis!$F$28:$F$37</c:f>
              <c:numCache>
                <c:formatCode>General</c:formatCode>
                <c:ptCount val="6"/>
                <c:pt idx="0">
                  <c:v>16017</c:v>
                </c:pt>
                <c:pt idx="1">
                  <c:v>16041</c:v>
                </c:pt>
                <c:pt idx="2">
                  <c:v>16200</c:v>
                </c:pt>
                <c:pt idx="3">
                  <c:v>15925</c:v>
                </c:pt>
                <c:pt idx="4">
                  <c:v>16259</c:v>
                </c:pt>
                <c:pt idx="5">
                  <c:v>15983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4994326"/>
        <c:axId val="482012120"/>
      </c:lineChart>
      <c:catAx>
        <c:axId val="134994326"/>
        <c:scaling>
          <c:orientation val="minMax"/>
        </c:scaling>
        <c:delete val="1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s-ES"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82012120"/>
        <c:crosses val="autoZero"/>
        <c:auto val="1"/>
        <c:lblAlgn val="ctr"/>
        <c:lblOffset val="100"/>
        <c:noMultiLvlLbl val="0"/>
      </c:catAx>
      <c:valAx>
        <c:axId val="482012120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s-ES"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499432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03ba1de0-4b93-464e-945b-c93076e99f91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s-ES" sz="800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[E-commerce Customer Behavior - Sheet1.xlsx]analisis!Tabla 
dinámica6</c:name>
    <c:fmtId val="6"/>
  </c:pivotSource>
  <c:chart>
    <c:autoTitleDeleted val="1"/>
    <c:plotArea>
      <c:layout/>
      <c:lineChart>
        <c:grouping val="stacked"/>
        <c:varyColors val="0"/>
        <c:ser>
          <c:idx val="0"/>
          <c:order val="0"/>
          <c:tx>
            <c:strRef>
              <c:f>analisis!$E$21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analisis!$D$22:$D$25</c:f>
              <c:strCache>
                <c:ptCount val="3"/>
                <c:pt idx="0">
                  <c:v>Bronze</c:v>
                </c:pt>
                <c:pt idx="1">
                  <c:v>Gold</c:v>
                </c:pt>
                <c:pt idx="2">
                  <c:v>Silver</c:v>
                </c:pt>
              </c:strCache>
            </c:strRef>
          </c:cat>
          <c:val>
            <c:numRef>
              <c:f>analisis!$E$22:$E$25</c:f>
              <c:numCache>
                <c:formatCode>0.00%</c:formatCode>
                <c:ptCount val="3"/>
                <c:pt idx="0">
                  <c:v>0.185590211826543</c:v>
                </c:pt>
                <c:pt idx="1">
                  <c:v>0.518460299928756</c:v>
                </c:pt>
                <c:pt idx="2">
                  <c:v>0.295949488244702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801979577"/>
        <c:axId val="874352747"/>
      </c:lineChart>
      <c:catAx>
        <c:axId val="801979577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874352747"/>
        <c:crosses val="autoZero"/>
        <c:auto val="1"/>
        <c:lblAlgn val="ctr"/>
        <c:lblOffset val="100"/>
        <c:noMultiLvlLbl val="0"/>
      </c:catAx>
      <c:valAx>
        <c:axId val="874352747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80197957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4fee0626-8912-4554-88ef-2e3e9714402a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s-ES">
          <a:solidFill>
            <a:schemeClr val="bg1"/>
          </a:solidFill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6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7" Type="http://schemas.openxmlformats.org/officeDocument/2006/relationships/chart" Target="../charts/chart7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66675</xdr:colOff>
      <xdr:row>1</xdr:row>
      <xdr:rowOff>28575</xdr:rowOff>
    </xdr:from>
    <xdr:to>
      <xdr:col>2</xdr:col>
      <xdr:colOff>9525</xdr:colOff>
      <xdr:row>1</xdr:row>
      <xdr:rowOff>304800</xdr:rowOff>
    </xdr:to>
    <xdr:sp>
      <xdr:nvSpPr>
        <xdr:cNvPr id="7" name="Rectángulo redondeado 6"/>
        <xdr:cNvSpPr/>
      </xdr:nvSpPr>
      <xdr:spPr>
        <a:xfrm>
          <a:off x="66675" y="219075"/>
          <a:ext cx="2266950" cy="276225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es-ES" altLang="en-US" sz="1100">
              <a:solidFill>
                <a:sysClr val="windowText" lastClr="000000"/>
              </a:solidFill>
            </a:rPr>
            <a:t>Total por genero</a:t>
          </a:r>
          <a:endParaRPr lang="es-ES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222250</xdr:colOff>
      <xdr:row>1</xdr:row>
      <xdr:rowOff>31750</xdr:rowOff>
    </xdr:from>
    <xdr:to>
      <xdr:col>5</xdr:col>
      <xdr:colOff>660400</xdr:colOff>
      <xdr:row>1</xdr:row>
      <xdr:rowOff>307975</xdr:rowOff>
    </xdr:to>
    <xdr:sp>
      <xdr:nvSpPr>
        <xdr:cNvPr id="8" name="Rectángulo redondeado 7"/>
        <xdr:cNvSpPr/>
      </xdr:nvSpPr>
      <xdr:spPr>
        <a:xfrm>
          <a:off x="3308350" y="222250"/>
          <a:ext cx="3238500" cy="276225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s-E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s-ES" altLang="en-US" sz="1100">
              <a:solidFill>
                <a:sysClr val="windowText" lastClr="000000"/>
              </a:solidFill>
            </a:rPr>
            <a:t>Tabla de KPIs mas importantes</a:t>
          </a:r>
          <a:endParaRPr lang="es-ES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34925</xdr:colOff>
      <xdr:row>6</xdr:row>
      <xdr:rowOff>6350</xdr:rowOff>
    </xdr:from>
    <xdr:to>
      <xdr:col>5</xdr:col>
      <xdr:colOff>701040</xdr:colOff>
      <xdr:row>7</xdr:row>
      <xdr:rowOff>92075</xdr:rowOff>
    </xdr:to>
    <xdr:sp>
      <xdr:nvSpPr>
        <xdr:cNvPr id="13" name="Rectángulo redondeado 12"/>
        <xdr:cNvSpPr/>
      </xdr:nvSpPr>
      <xdr:spPr>
        <a:xfrm>
          <a:off x="3121025" y="1327150"/>
          <a:ext cx="3466465" cy="276225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s-E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s-ES" altLang="en-US" sz="1100">
              <a:solidFill>
                <a:sysClr val="windowText" lastClr="000000"/>
              </a:solidFill>
            </a:rPr>
            <a:t>Cantidad vendida por ciudad, promedio y benchmark</a:t>
          </a:r>
          <a:endParaRPr lang="es-ES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47625</xdr:colOff>
      <xdr:row>17</xdr:row>
      <xdr:rowOff>9525</xdr:rowOff>
    </xdr:from>
    <xdr:to>
      <xdr:col>6</xdr:col>
      <xdr:colOff>198120</xdr:colOff>
      <xdr:row>18</xdr:row>
      <xdr:rowOff>180340</xdr:rowOff>
    </xdr:to>
    <xdr:sp>
      <xdr:nvSpPr>
        <xdr:cNvPr id="15" name="Rectángulo redondeado 14"/>
        <xdr:cNvSpPr/>
      </xdr:nvSpPr>
      <xdr:spPr>
        <a:xfrm>
          <a:off x="3133725" y="3425825"/>
          <a:ext cx="4655820" cy="361315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s-E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s-ES" altLang="en-US" sz="1100">
              <a:solidFill>
                <a:sysClr val="windowText" lastClr="000000"/>
              </a:solidFill>
            </a:rPr>
            <a:t>Quien tiene el porcentaje mas alto de ventas entre hombre y mujer</a:t>
          </a:r>
          <a:endParaRPr lang="es-ES" altLang="en-US" sz="110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142875</xdr:colOff>
      <xdr:row>0</xdr:row>
      <xdr:rowOff>85725</xdr:rowOff>
    </xdr:from>
    <xdr:to>
      <xdr:col>3</xdr:col>
      <xdr:colOff>419100</xdr:colOff>
      <xdr:row>35</xdr:row>
      <xdr:rowOff>55880</xdr:rowOff>
    </xdr:to>
    <xdr:sp>
      <xdr:nvSpPr>
        <xdr:cNvPr id="2" name="Rectángulo redondeado 1"/>
        <xdr:cNvSpPr/>
      </xdr:nvSpPr>
      <xdr:spPr>
        <a:xfrm>
          <a:off x="142875" y="85725"/>
          <a:ext cx="2105025" cy="6637655"/>
        </a:xfrm>
        <a:prstGeom prst="roundRect">
          <a:avLst/>
        </a:prstGeom>
        <a:gradFill>
          <a:gsLst>
            <a:gs pos="100000">
              <a:srgbClr val="004372">
                <a:alpha val="100000"/>
                <a:lumMod val="80000"/>
              </a:srgbClr>
            </a:gs>
            <a:gs pos="3000">
              <a:srgbClr val="004372"/>
            </a:gs>
            <a:gs pos="100000">
              <a:schemeClr val="accent1">
                <a:lumMod val="45000"/>
                <a:lumOff val="55000"/>
              </a:schemeClr>
            </a:gs>
            <a:gs pos="100000">
              <a:srgbClr val="004372"/>
            </a:gs>
            <a:gs pos="100000">
              <a:schemeClr val="accent1">
                <a:lumMod val="30000"/>
                <a:lumOff val="70000"/>
              </a:schemeClr>
            </a:gs>
          </a:gsLst>
          <a:lin ang="6600000" scaled="0"/>
        </a:gra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s-ES" altLang="en-US" sz="1100"/>
        </a:p>
      </xdr:txBody>
    </xdr:sp>
    <xdr:clientData/>
  </xdr:twoCellAnchor>
  <xdr:twoCellAnchor>
    <xdr:from>
      <xdr:col>3</xdr:col>
      <xdr:colOff>514350</xdr:colOff>
      <xdr:row>0</xdr:row>
      <xdr:rowOff>114300</xdr:rowOff>
    </xdr:from>
    <xdr:to>
      <xdr:col>7</xdr:col>
      <xdr:colOff>361315</xdr:colOff>
      <xdr:row>6</xdr:row>
      <xdr:rowOff>161925</xdr:rowOff>
    </xdr:to>
    <xdr:sp textlink="analisis!$D$4">
      <xdr:nvSpPr>
        <xdr:cNvPr id="3" name="Rectángulo redondeado 2"/>
        <xdr:cNvSpPr/>
      </xdr:nvSpPr>
      <xdr:spPr>
        <a:xfrm>
          <a:off x="2343150" y="114300"/>
          <a:ext cx="2285365" cy="1190625"/>
        </a:xfrm>
        <a:prstGeom prst="roundRect">
          <a:avLst/>
        </a:prstGeom>
        <a:gradFill>
          <a:gsLst>
            <a:gs pos="100000">
              <a:schemeClr val="accent1">
                <a:lumMod val="40000"/>
                <a:lumOff val="60000"/>
              </a:schemeClr>
            </a:gs>
            <a:gs pos="4000">
              <a:srgbClr val="004372"/>
            </a:gs>
            <a:gs pos="94000">
              <a:srgbClr val="005D9E"/>
            </a:gs>
            <a:gs pos="31000">
              <a:srgbClr val="004372"/>
            </a:gs>
            <a:gs pos="100000">
              <a:schemeClr val="accent1">
                <a:lumMod val="45000"/>
                <a:lumOff val="55000"/>
              </a:schemeClr>
            </a:gs>
            <a:gs pos="100000">
              <a:srgbClr val="004372"/>
            </a:gs>
            <a:gs pos="100000">
              <a:schemeClr val="accent1">
                <a:lumMod val="30000"/>
                <a:lumOff val="70000"/>
              </a:schemeClr>
            </a:gs>
          </a:gsLst>
          <a:lin ang="4200000" scaled="0"/>
        </a:gra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vert="horz" wrap="square" numCol="1" spcCol="0" rtlCol="0" fromWordArt="0" anchor="ctr" anchorCtr="0" forceAA="0" compatLnSpc="1"/>
        <a:lstStyle>
          <a:defPPr>
            <a:defRPr lang="es-E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buClrTx/>
            <a:buSzTx/>
            <a:buFontTx/>
          </a:pPr>
          <a:fld id="{BB962C8B-B14F-4D97-AF65-F5344CB8AC3E}" type="TxLink">
            <a:rPr lang="es-ES" altLang="en-US" sz="3200"/>
            <a:t>350</a:t>
          </a:fld>
          <a:endParaRPr lang="es-ES" altLang="en-US" sz="3200"/>
        </a:p>
      </xdr:txBody>
    </xdr:sp>
    <xdr:clientData/>
  </xdr:twoCellAnchor>
  <xdr:twoCellAnchor>
    <xdr:from>
      <xdr:col>15</xdr:col>
      <xdr:colOff>459740</xdr:colOff>
      <xdr:row>0</xdr:row>
      <xdr:rowOff>117475</xdr:rowOff>
    </xdr:from>
    <xdr:to>
      <xdr:col>19</xdr:col>
      <xdr:colOff>31115</xdr:colOff>
      <xdr:row>6</xdr:row>
      <xdr:rowOff>135255</xdr:rowOff>
    </xdr:to>
    <xdr:sp textlink="analisis!$G$4">
      <xdr:nvSpPr>
        <xdr:cNvPr id="4" name="Rectángulo redondeado 3"/>
        <xdr:cNvSpPr/>
      </xdr:nvSpPr>
      <xdr:spPr>
        <a:xfrm>
          <a:off x="9603740" y="117475"/>
          <a:ext cx="2009775" cy="1160780"/>
        </a:xfrm>
        <a:prstGeom prst="roundRect">
          <a:avLst/>
        </a:prstGeom>
        <a:gradFill>
          <a:gsLst>
            <a:gs pos="100000">
              <a:schemeClr val="accent1">
                <a:lumMod val="40000"/>
                <a:lumOff val="60000"/>
              </a:schemeClr>
            </a:gs>
            <a:gs pos="4000">
              <a:srgbClr val="2F9176"/>
            </a:gs>
            <a:gs pos="65000">
              <a:srgbClr val="3DA97C"/>
            </a:gs>
            <a:gs pos="31000">
              <a:srgbClr val="2F9176"/>
            </a:gs>
            <a:gs pos="100000">
              <a:schemeClr val="accent1">
                <a:lumMod val="45000"/>
                <a:lumOff val="55000"/>
              </a:schemeClr>
            </a:gs>
            <a:gs pos="100000">
              <a:srgbClr val="004372"/>
            </a:gs>
            <a:gs pos="100000">
              <a:schemeClr val="accent1">
                <a:lumMod val="30000"/>
                <a:lumOff val="70000"/>
              </a:schemeClr>
            </a:gs>
          </a:gsLst>
          <a:lin ang="1800000" scaled="0"/>
        </a:gra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es-E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fld id="{BB962C8B-B14F-4D97-AF65-F5344CB8AC3E}" type="TxLink">
            <a:rPr lang="es-ES" altLang="en-US" sz="3200"/>
            <a:t>295.883,60 </a:t>
          </a:fld>
          <a:endParaRPr lang="es-ES" altLang="en-US" sz="3200"/>
        </a:p>
      </xdr:txBody>
    </xdr:sp>
    <xdr:clientData/>
  </xdr:twoCellAnchor>
  <xdr:twoCellAnchor>
    <xdr:from>
      <xdr:col>11</xdr:col>
      <xdr:colOff>473075</xdr:colOff>
      <xdr:row>0</xdr:row>
      <xdr:rowOff>111125</xdr:rowOff>
    </xdr:from>
    <xdr:to>
      <xdr:col>15</xdr:col>
      <xdr:colOff>320040</xdr:colOff>
      <xdr:row>6</xdr:row>
      <xdr:rowOff>139065</xdr:rowOff>
    </xdr:to>
    <xdr:sp textlink="analisis!$F$4">
      <xdr:nvSpPr>
        <xdr:cNvPr id="5" name="Rectángulo redondeado 4"/>
        <xdr:cNvSpPr/>
      </xdr:nvSpPr>
      <xdr:spPr>
        <a:xfrm>
          <a:off x="7178675" y="111125"/>
          <a:ext cx="2285365" cy="1170940"/>
        </a:xfrm>
        <a:prstGeom prst="roundRect">
          <a:avLst/>
        </a:prstGeom>
        <a:gradFill>
          <a:gsLst>
            <a:gs pos="100000">
              <a:schemeClr val="accent1">
                <a:lumMod val="40000"/>
                <a:lumOff val="60000"/>
              </a:schemeClr>
            </a:gs>
            <a:gs pos="4000">
              <a:srgbClr val="004372"/>
            </a:gs>
            <a:gs pos="63000">
              <a:srgbClr val="005D9E"/>
            </a:gs>
            <a:gs pos="31000">
              <a:srgbClr val="004372"/>
            </a:gs>
            <a:gs pos="100000">
              <a:schemeClr val="accent1">
                <a:lumMod val="45000"/>
                <a:lumOff val="55000"/>
              </a:schemeClr>
            </a:gs>
            <a:gs pos="100000">
              <a:srgbClr val="004372"/>
            </a:gs>
            <a:gs pos="100000">
              <a:schemeClr val="accent1">
                <a:lumMod val="30000"/>
                <a:lumOff val="70000"/>
              </a:schemeClr>
            </a:gs>
          </a:gsLst>
          <a:lin ang="3000000" scaled="0"/>
        </a:gra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es-E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fld id="{BB962C8B-B14F-4D97-AF65-F5344CB8AC3E}" type="TxLink">
            <a:rPr lang="es-ES" altLang="en-US" sz="3200"/>
            <a:t>845,38 </a:t>
          </a:fld>
          <a:endParaRPr lang="es-ES" altLang="en-US" sz="3200"/>
        </a:p>
      </xdr:txBody>
    </xdr:sp>
    <xdr:clientData/>
  </xdr:twoCellAnchor>
  <xdr:twoCellAnchor>
    <xdr:from>
      <xdr:col>7</xdr:col>
      <xdr:colOff>485775</xdr:colOff>
      <xdr:row>0</xdr:row>
      <xdr:rowOff>114300</xdr:rowOff>
    </xdr:from>
    <xdr:to>
      <xdr:col>11</xdr:col>
      <xdr:colOff>332740</xdr:colOff>
      <xdr:row>6</xdr:row>
      <xdr:rowOff>151765</xdr:rowOff>
    </xdr:to>
    <xdr:sp textlink="analisis!$E$4">
      <xdr:nvSpPr>
        <xdr:cNvPr id="6" name="Rectángulo redondeado 5"/>
        <xdr:cNvSpPr/>
      </xdr:nvSpPr>
      <xdr:spPr>
        <a:xfrm>
          <a:off x="4752975" y="114300"/>
          <a:ext cx="2285365" cy="1180465"/>
        </a:xfrm>
        <a:prstGeom prst="roundRect">
          <a:avLst/>
        </a:prstGeom>
        <a:gradFill>
          <a:gsLst>
            <a:gs pos="100000">
              <a:schemeClr val="accent1">
                <a:lumMod val="40000"/>
                <a:lumOff val="60000"/>
              </a:schemeClr>
            </a:gs>
            <a:gs pos="4000">
              <a:srgbClr val="004372"/>
            </a:gs>
            <a:gs pos="94000">
              <a:srgbClr val="005D9E"/>
            </a:gs>
            <a:gs pos="31000">
              <a:srgbClr val="004372"/>
            </a:gs>
            <a:gs pos="100000">
              <a:schemeClr val="accent1">
                <a:lumMod val="45000"/>
                <a:lumOff val="55000"/>
              </a:schemeClr>
            </a:gs>
            <a:gs pos="100000">
              <a:srgbClr val="004372"/>
            </a:gs>
            <a:gs pos="100000">
              <a:schemeClr val="accent1">
                <a:lumMod val="30000"/>
                <a:lumOff val="70000"/>
              </a:schemeClr>
            </a:gs>
          </a:gsLst>
          <a:lin ang="4200000" scaled="0"/>
        </a:gra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vert="horz" wrap="square" numCol="1" spcCol="0" rtlCol="0" fromWordArt="0" anchor="ctr" anchorCtr="0" forceAA="0" compatLnSpc="1">
          <a:noAutofit/>
        </a:bodyPr>
        <a:lstStyle>
          <a:defPPr>
            <a:defRPr lang="es-E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buClrTx/>
            <a:buSzTx/>
            <a:buFontTx/>
          </a:pPr>
          <a:fld id="{BB962C8B-B14F-4D97-AF65-F5344CB8AC3E}" type="TxLink">
            <a:rPr lang="es-ES" altLang="en-US" sz="3200"/>
            <a:t>34 </a:t>
          </a:fld>
          <a:endParaRPr lang="es-ES" altLang="en-US" sz="3200"/>
        </a:p>
      </xdr:txBody>
    </xdr:sp>
    <xdr:clientData/>
  </xdr:twoCellAnchor>
  <xdr:twoCellAnchor>
    <xdr:from>
      <xdr:col>3</xdr:col>
      <xdr:colOff>565150</xdr:colOff>
      <xdr:row>7</xdr:row>
      <xdr:rowOff>146050</xdr:rowOff>
    </xdr:from>
    <xdr:to>
      <xdr:col>14</xdr:col>
      <xdr:colOff>1905</xdr:colOff>
      <xdr:row>21</xdr:row>
      <xdr:rowOff>47625</xdr:rowOff>
    </xdr:to>
    <xdr:sp>
      <xdr:nvSpPr>
        <xdr:cNvPr id="7" name="Rectángulo redondeado 6"/>
        <xdr:cNvSpPr/>
      </xdr:nvSpPr>
      <xdr:spPr>
        <a:xfrm>
          <a:off x="2393950" y="1479550"/>
          <a:ext cx="6142355" cy="2568575"/>
        </a:xfrm>
        <a:prstGeom prst="roundRect">
          <a:avLst/>
        </a:prstGeom>
        <a:gradFill>
          <a:gsLst>
            <a:gs pos="100000">
              <a:schemeClr val="accent1">
                <a:lumMod val="40000"/>
                <a:lumOff val="60000"/>
              </a:schemeClr>
            </a:gs>
            <a:gs pos="4000">
              <a:srgbClr val="004372"/>
            </a:gs>
            <a:gs pos="64000">
              <a:srgbClr val="005D9E"/>
            </a:gs>
            <a:gs pos="31000">
              <a:srgbClr val="004372"/>
            </a:gs>
            <a:gs pos="100000">
              <a:schemeClr val="accent1">
                <a:lumMod val="45000"/>
                <a:lumOff val="55000"/>
              </a:schemeClr>
            </a:gs>
            <a:gs pos="100000">
              <a:srgbClr val="004372"/>
            </a:gs>
            <a:gs pos="100000">
              <a:schemeClr val="accent1">
                <a:lumMod val="30000"/>
                <a:lumOff val="70000"/>
              </a:schemeClr>
            </a:gs>
          </a:gsLst>
          <a:lin ang="3000000" scaled="0"/>
        </a:gra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vert="horz" wrap="square" numCol="1" spcCol="0" rtlCol="0" fromWordArt="0" anchor="t" anchorCtr="0" forceAA="0" compatLnSpc="1"/>
        <a:lstStyle>
          <a:defPPr>
            <a:defRPr lang="es-E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</a:pPr>
          <a:endParaRPr lang="es-ES" altLang="en-US" sz="1100"/>
        </a:p>
      </xdr:txBody>
    </xdr:sp>
    <xdr:clientData/>
  </xdr:twoCellAnchor>
  <xdr:twoCellAnchor>
    <xdr:from>
      <xdr:col>14</xdr:col>
      <xdr:colOff>104140</xdr:colOff>
      <xdr:row>7</xdr:row>
      <xdr:rowOff>152400</xdr:rowOff>
    </xdr:from>
    <xdr:to>
      <xdr:col>19</xdr:col>
      <xdr:colOff>56515</xdr:colOff>
      <xdr:row>21</xdr:row>
      <xdr:rowOff>3810</xdr:rowOff>
    </xdr:to>
    <xdr:sp>
      <xdr:nvSpPr>
        <xdr:cNvPr id="8" name="Rectángulo redondeado 7"/>
        <xdr:cNvSpPr/>
      </xdr:nvSpPr>
      <xdr:spPr>
        <a:xfrm>
          <a:off x="8638540" y="1485900"/>
          <a:ext cx="3000375" cy="2518410"/>
        </a:xfrm>
        <a:prstGeom prst="roundRect">
          <a:avLst/>
        </a:prstGeom>
        <a:gradFill>
          <a:gsLst>
            <a:gs pos="100000">
              <a:schemeClr val="accent1">
                <a:lumMod val="40000"/>
                <a:lumOff val="60000"/>
              </a:schemeClr>
            </a:gs>
            <a:gs pos="59000">
              <a:schemeClr val="accent1"/>
            </a:gs>
            <a:gs pos="37000">
              <a:schemeClr val="accent1"/>
            </a:gs>
            <a:gs pos="100000">
              <a:schemeClr val="accent1">
                <a:lumMod val="45000"/>
                <a:lumOff val="55000"/>
              </a:schemeClr>
            </a:gs>
            <a:gs pos="100000">
              <a:srgbClr val="004372"/>
            </a:gs>
            <a:gs pos="100000">
              <a:schemeClr val="accent1">
                <a:lumMod val="30000"/>
                <a:lumOff val="70000"/>
              </a:schemeClr>
            </a:gs>
          </a:gsLst>
          <a:lin ang="4200000" scaled="0"/>
        </a:gra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s-E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s-ES" altLang="en-US" sz="1100"/>
        </a:p>
      </xdr:txBody>
    </xdr:sp>
    <xdr:clientData/>
  </xdr:twoCellAnchor>
  <xdr:twoCellAnchor>
    <xdr:from>
      <xdr:col>3</xdr:col>
      <xdr:colOff>596900</xdr:colOff>
      <xdr:row>21</xdr:row>
      <xdr:rowOff>160020</xdr:rowOff>
    </xdr:from>
    <xdr:to>
      <xdr:col>14</xdr:col>
      <xdr:colOff>33655</xdr:colOff>
      <xdr:row>34</xdr:row>
      <xdr:rowOff>177165</xdr:rowOff>
    </xdr:to>
    <xdr:sp>
      <xdr:nvSpPr>
        <xdr:cNvPr id="10" name="Rectángulo redondeado 9"/>
        <xdr:cNvSpPr/>
      </xdr:nvSpPr>
      <xdr:spPr>
        <a:xfrm>
          <a:off x="2425700" y="4160520"/>
          <a:ext cx="6142355" cy="2493645"/>
        </a:xfrm>
        <a:prstGeom prst="roundRect">
          <a:avLst/>
        </a:prstGeom>
        <a:gradFill>
          <a:gsLst>
            <a:gs pos="100000">
              <a:schemeClr val="accent1">
                <a:lumMod val="40000"/>
                <a:lumOff val="60000"/>
              </a:schemeClr>
            </a:gs>
            <a:gs pos="4000">
              <a:srgbClr val="004372"/>
            </a:gs>
            <a:gs pos="55000">
              <a:srgbClr val="005D9E"/>
            </a:gs>
            <a:gs pos="12000">
              <a:srgbClr val="004372"/>
            </a:gs>
            <a:gs pos="100000">
              <a:schemeClr val="accent1">
                <a:lumMod val="45000"/>
                <a:lumOff val="55000"/>
              </a:schemeClr>
            </a:gs>
            <a:gs pos="100000">
              <a:srgbClr val="004372"/>
            </a:gs>
            <a:gs pos="100000">
              <a:schemeClr val="accent1">
                <a:lumMod val="30000"/>
                <a:lumOff val="70000"/>
              </a:schemeClr>
            </a:gs>
          </a:gsLst>
          <a:lin ang="3000000" scaled="0"/>
        </a:gra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s-E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s-ES" altLang="en-US" sz="1100"/>
        </a:p>
      </xdr:txBody>
    </xdr:sp>
    <xdr:clientData/>
  </xdr:twoCellAnchor>
  <xdr:twoCellAnchor>
    <xdr:from>
      <xdr:col>14</xdr:col>
      <xdr:colOff>136525</xdr:colOff>
      <xdr:row>21</xdr:row>
      <xdr:rowOff>161925</xdr:rowOff>
    </xdr:from>
    <xdr:to>
      <xdr:col>19</xdr:col>
      <xdr:colOff>133350</xdr:colOff>
      <xdr:row>34</xdr:row>
      <xdr:rowOff>115570</xdr:rowOff>
    </xdr:to>
    <xdr:sp>
      <xdr:nvSpPr>
        <xdr:cNvPr id="11" name="Rectángulo redondeado 10"/>
        <xdr:cNvSpPr/>
      </xdr:nvSpPr>
      <xdr:spPr>
        <a:xfrm>
          <a:off x="8670925" y="4162425"/>
          <a:ext cx="3044825" cy="2430145"/>
        </a:xfrm>
        <a:prstGeom prst="roundRect">
          <a:avLst/>
        </a:prstGeom>
        <a:gradFill>
          <a:gsLst>
            <a:gs pos="100000">
              <a:schemeClr val="accent1">
                <a:lumMod val="40000"/>
                <a:lumOff val="60000"/>
              </a:schemeClr>
            </a:gs>
            <a:gs pos="19000">
              <a:schemeClr val="accent1">
                <a:lumMod val="75000"/>
              </a:schemeClr>
            </a:gs>
            <a:gs pos="100000">
              <a:schemeClr val="accent1">
                <a:lumMod val="45000"/>
                <a:lumOff val="55000"/>
              </a:schemeClr>
            </a:gs>
            <a:gs pos="100000">
              <a:srgbClr val="004372"/>
            </a:gs>
            <a:gs pos="100000">
              <a:schemeClr val="accent1">
                <a:lumMod val="30000"/>
                <a:lumOff val="70000"/>
              </a:schemeClr>
            </a:gs>
          </a:gsLst>
          <a:lin ang="3000000" scaled="0"/>
        </a:gra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vert="horz" wrap="square" numCol="1" spcCol="0" rtlCol="0" fromWordArt="0" anchor="t" anchorCtr="0" forceAA="0" compatLnSpc="1"/>
        <a:lstStyle>
          <a:defPPr>
            <a:defRPr lang="es-E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</a:pPr>
          <a:endParaRPr lang="es-ES" altLang="en-US" sz="1100"/>
        </a:p>
      </xdr:txBody>
    </xdr:sp>
    <xdr:clientData/>
  </xdr:twoCellAnchor>
  <xdr:twoCellAnchor>
    <xdr:from>
      <xdr:col>14</xdr:col>
      <xdr:colOff>15875</xdr:colOff>
      <xdr:row>8</xdr:row>
      <xdr:rowOff>79375</xdr:rowOff>
    </xdr:from>
    <xdr:to>
      <xdr:col>19</xdr:col>
      <xdr:colOff>13970</xdr:colOff>
      <xdr:row>19</xdr:row>
      <xdr:rowOff>165100</xdr:rowOff>
    </xdr:to>
    <xdr:graphicFrame>
      <xdr:nvGraphicFramePr>
        <xdr:cNvPr id="12" name="Gráfico 11"/>
        <xdr:cNvGraphicFramePr/>
      </xdr:nvGraphicFramePr>
      <xdr:xfrm>
        <a:off x="8550275" y="1603375"/>
        <a:ext cx="3046095" cy="21812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4</xdr:col>
      <xdr:colOff>0</xdr:colOff>
      <xdr:row>0</xdr:row>
      <xdr:rowOff>161925</xdr:rowOff>
    </xdr:from>
    <xdr:ext cx="1332865" cy="290830"/>
    <xdr:sp>
      <xdr:nvSpPr>
        <xdr:cNvPr id="13" name="Cuadro de texto 12"/>
        <xdr:cNvSpPr txBox="1"/>
      </xdr:nvSpPr>
      <xdr:spPr>
        <a:xfrm>
          <a:off x="2438400" y="161925"/>
          <a:ext cx="1332865" cy="29083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p>
          <a:pPr algn="l"/>
          <a:r>
            <a:rPr lang="es-ES" altLang="en-US" sz="1200">
              <a:solidFill>
                <a:schemeClr val="bg1"/>
              </a:solidFill>
            </a:rPr>
            <a:t>Numero de Tickets</a:t>
          </a:r>
          <a:endParaRPr lang="es-ES" altLang="en-US" sz="1200">
            <a:solidFill>
              <a:schemeClr val="bg1"/>
            </a:solidFill>
          </a:endParaRPr>
        </a:p>
      </xdr:txBody>
    </xdr:sp>
    <xdr:clientData/>
  </xdr:oneCellAnchor>
  <xdr:oneCellAnchor>
    <xdr:from>
      <xdr:col>7</xdr:col>
      <xdr:colOff>485775</xdr:colOff>
      <xdr:row>0</xdr:row>
      <xdr:rowOff>114300</xdr:rowOff>
    </xdr:from>
    <xdr:ext cx="2213610" cy="290830"/>
    <xdr:sp>
      <xdr:nvSpPr>
        <xdr:cNvPr id="14" name="Cuadro de texto 13"/>
        <xdr:cNvSpPr txBox="1"/>
      </xdr:nvSpPr>
      <xdr:spPr>
        <a:xfrm>
          <a:off x="4752975" y="114300"/>
          <a:ext cx="2213610" cy="29083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es-E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s-ES" altLang="en-US" sz="1200">
              <a:solidFill>
                <a:schemeClr val="bg1"/>
              </a:solidFill>
            </a:rPr>
            <a:t>Promedio de edad de los clientes</a:t>
          </a:r>
          <a:endParaRPr lang="es-ES" altLang="en-US" sz="1200">
            <a:solidFill>
              <a:schemeClr val="bg1"/>
            </a:solidFill>
          </a:endParaRPr>
        </a:p>
      </xdr:txBody>
    </xdr:sp>
    <xdr:clientData/>
  </xdr:oneCellAnchor>
  <xdr:oneCellAnchor>
    <xdr:from>
      <xdr:col>11</xdr:col>
      <xdr:colOff>472440</xdr:colOff>
      <xdr:row>0</xdr:row>
      <xdr:rowOff>111125</xdr:rowOff>
    </xdr:from>
    <xdr:ext cx="1887220" cy="290830"/>
    <xdr:sp>
      <xdr:nvSpPr>
        <xdr:cNvPr id="15" name="Cuadro de texto 14"/>
        <xdr:cNvSpPr txBox="1"/>
      </xdr:nvSpPr>
      <xdr:spPr>
        <a:xfrm>
          <a:off x="7178040" y="111125"/>
          <a:ext cx="1887220" cy="29083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es-E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s-ES" altLang="en-US" sz="1200">
              <a:solidFill>
                <a:schemeClr val="bg1"/>
              </a:solidFill>
            </a:rPr>
            <a:t>Promedio General Historico</a:t>
          </a:r>
          <a:endParaRPr lang="es-ES" altLang="en-US" sz="1200">
            <a:solidFill>
              <a:schemeClr val="bg1"/>
            </a:solidFill>
          </a:endParaRPr>
        </a:p>
      </xdr:txBody>
    </xdr:sp>
    <xdr:clientData/>
  </xdr:oneCellAnchor>
  <xdr:oneCellAnchor>
    <xdr:from>
      <xdr:col>12</xdr:col>
      <xdr:colOff>568325</xdr:colOff>
      <xdr:row>5</xdr:row>
      <xdr:rowOff>25400</xdr:rowOff>
    </xdr:from>
    <xdr:ext cx="825500" cy="273685"/>
    <xdr:sp>
      <xdr:nvSpPr>
        <xdr:cNvPr id="16" name="Cuadro de texto 15"/>
        <xdr:cNvSpPr txBox="1"/>
      </xdr:nvSpPr>
      <xdr:spPr>
        <a:xfrm>
          <a:off x="7883525" y="977900"/>
          <a:ext cx="825500" cy="27368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es-E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s-ES" altLang="en-US" sz="1100">
              <a:solidFill>
                <a:schemeClr val="bg1"/>
              </a:solidFill>
            </a:rPr>
            <a:t>Benchmark</a:t>
          </a:r>
          <a:endParaRPr lang="es-ES" altLang="en-US" sz="1100">
            <a:solidFill>
              <a:schemeClr val="bg1"/>
            </a:solidFill>
          </a:endParaRPr>
        </a:p>
      </xdr:txBody>
    </xdr:sp>
    <xdr:clientData/>
  </xdr:oneCellAnchor>
  <xdr:oneCellAnchor>
    <xdr:from>
      <xdr:col>15</xdr:col>
      <xdr:colOff>513715</xdr:colOff>
      <xdr:row>0</xdr:row>
      <xdr:rowOff>161925</xdr:rowOff>
    </xdr:from>
    <xdr:ext cx="1336040" cy="290830"/>
    <xdr:sp>
      <xdr:nvSpPr>
        <xdr:cNvPr id="17" name="Cuadro de texto 16"/>
        <xdr:cNvSpPr txBox="1"/>
      </xdr:nvSpPr>
      <xdr:spPr>
        <a:xfrm>
          <a:off x="9657715" y="161925"/>
          <a:ext cx="1336040" cy="29083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es-E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s-ES" altLang="en-US" sz="1200">
              <a:solidFill>
                <a:schemeClr val="bg1"/>
              </a:solidFill>
            </a:rPr>
            <a:t>Total de las Ventas</a:t>
          </a:r>
          <a:endParaRPr lang="es-ES" altLang="en-US" sz="1200">
            <a:solidFill>
              <a:schemeClr val="bg1"/>
            </a:solidFill>
          </a:endParaRPr>
        </a:p>
      </xdr:txBody>
    </xdr:sp>
    <xdr:clientData/>
  </xdr:oneCellAnchor>
  <xdr:twoCellAnchor editAs="oneCell">
    <xdr:from>
      <xdr:col>0</xdr:col>
      <xdr:colOff>277495</xdr:colOff>
      <xdr:row>7</xdr:row>
      <xdr:rowOff>70485</xdr:rowOff>
    </xdr:from>
    <xdr:to>
      <xdr:col>3</xdr:col>
      <xdr:colOff>323850</xdr:colOff>
      <xdr:row>14</xdr:row>
      <xdr:rowOff>121920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8" name="City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it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77495" y="1403985"/>
              <a:ext cx="1875155" cy="13849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Esta forma representa un segmento.
Los segmentos no se pueden usar en esta versión. Actualice a la versión más reciente de WPS Office.</a:t>
              </a:r>
            </a:p>
          </xdr:txBody>
        </xdr:sp>
      </mc:Fallback>
    </mc:AlternateContent>
    <xdr:clientData/>
  </xdr:twoCellAnchor>
  <xdr:twoCellAnchor>
    <xdr:from>
      <xdr:col>0</xdr:col>
      <xdr:colOff>212725</xdr:colOff>
      <xdr:row>15</xdr:row>
      <xdr:rowOff>67945</xdr:rowOff>
    </xdr:from>
    <xdr:to>
      <xdr:col>3</xdr:col>
      <xdr:colOff>382905</xdr:colOff>
      <xdr:row>21</xdr:row>
      <xdr:rowOff>8255</xdr:rowOff>
    </xdr:to>
    <xdr:graphicFrame>
      <xdr:nvGraphicFramePr>
        <xdr:cNvPr id="19" name="Gráfico 18"/>
        <xdr:cNvGraphicFramePr/>
      </xdr:nvGraphicFramePr>
      <xdr:xfrm>
        <a:off x="212725" y="2925445"/>
        <a:ext cx="1998980" cy="10833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294640</xdr:colOff>
      <xdr:row>23</xdr:row>
      <xdr:rowOff>78740</xdr:rowOff>
    </xdr:from>
    <xdr:to>
      <xdr:col>13</xdr:col>
      <xdr:colOff>316865</xdr:colOff>
      <xdr:row>34</xdr:row>
      <xdr:rowOff>175895</xdr:rowOff>
    </xdr:to>
    <xdr:graphicFrame>
      <xdr:nvGraphicFramePr>
        <xdr:cNvPr id="20" name="Gráfico 19"/>
        <xdr:cNvGraphicFramePr/>
      </xdr:nvGraphicFramePr>
      <xdr:xfrm>
        <a:off x="2733040" y="4460240"/>
        <a:ext cx="5508625" cy="21926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4</xdr:col>
      <xdr:colOff>184150</xdr:colOff>
      <xdr:row>22</xdr:row>
      <xdr:rowOff>64770</xdr:rowOff>
    </xdr:from>
    <xdr:ext cx="1778000" cy="290830"/>
    <xdr:sp>
      <xdr:nvSpPr>
        <xdr:cNvPr id="21" name="Cuadro de texto 20"/>
        <xdr:cNvSpPr txBox="1"/>
      </xdr:nvSpPr>
      <xdr:spPr>
        <a:xfrm>
          <a:off x="2622550" y="4255770"/>
          <a:ext cx="1778000" cy="29083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es-E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s-ES" altLang="en-US" sz="1200">
              <a:solidFill>
                <a:schemeClr val="bg1"/>
              </a:solidFill>
            </a:rPr>
            <a:t>Ventas por rando de edad</a:t>
          </a:r>
          <a:endParaRPr lang="es-ES" altLang="en-US" sz="1200">
            <a:solidFill>
              <a:schemeClr val="bg1"/>
            </a:solidFill>
          </a:endParaRPr>
        </a:p>
      </xdr:txBody>
    </xdr:sp>
    <xdr:clientData/>
  </xdr:oneCellAnchor>
  <xdr:twoCellAnchor>
    <xdr:from>
      <xdr:col>4</xdr:col>
      <xdr:colOff>134620</xdr:colOff>
      <xdr:row>8</xdr:row>
      <xdr:rowOff>24765</xdr:rowOff>
    </xdr:from>
    <xdr:to>
      <xdr:col>13</xdr:col>
      <xdr:colOff>419735</xdr:colOff>
      <xdr:row>20</xdr:row>
      <xdr:rowOff>59055</xdr:rowOff>
    </xdr:to>
    <xdr:graphicFrame>
      <xdr:nvGraphicFramePr>
        <xdr:cNvPr id="22" name="Gráfico 21"/>
        <xdr:cNvGraphicFramePr/>
      </xdr:nvGraphicFramePr>
      <xdr:xfrm>
        <a:off x="2573020" y="1548765"/>
        <a:ext cx="5771515" cy="23202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oneCellAnchor>
    <xdr:from>
      <xdr:col>7</xdr:col>
      <xdr:colOff>205105</xdr:colOff>
      <xdr:row>20</xdr:row>
      <xdr:rowOff>19050</xdr:rowOff>
    </xdr:from>
    <xdr:ext cx="2102485" cy="290830"/>
    <xdr:sp>
      <xdr:nvSpPr>
        <xdr:cNvPr id="23" name="Cuadro de texto 22"/>
        <xdr:cNvSpPr txBox="1"/>
      </xdr:nvSpPr>
      <xdr:spPr>
        <a:xfrm>
          <a:off x="4472305" y="3829050"/>
          <a:ext cx="2102485" cy="29083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es-E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s-ES" altLang="en-US" sz="1200">
              <a:solidFill>
                <a:schemeClr val="bg1"/>
              </a:solidFill>
            </a:rPr>
            <a:t>Promedio de ventas por ciudad</a:t>
          </a:r>
          <a:endParaRPr lang="es-ES" altLang="en-US" sz="1200">
            <a:solidFill>
              <a:schemeClr val="bg1"/>
            </a:solidFill>
          </a:endParaRPr>
        </a:p>
      </xdr:txBody>
    </xdr:sp>
    <xdr:clientData/>
  </xdr:oneCellAnchor>
  <xdr:twoCellAnchor editAs="oneCell">
    <xdr:from>
      <xdr:col>0</xdr:col>
      <xdr:colOff>284480</xdr:colOff>
      <xdr:row>21</xdr:row>
      <xdr:rowOff>144145</xdr:rowOff>
    </xdr:from>
    <xdr:to>
      <xdr:col>3</xdr:col>
      <xdr:colOff>271780</xdr:colOff>
      <xdr:row>25</xdr:row>
      <xdr:rowOff>140970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4" name="Gender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de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4480" y="4144645"/>
              <a:ext cx="1816100" cy="7588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Esta forma representa un segmento.
Los segmentos no se pueden usar en esta versión. Actualice a la versión más reciente de WPS Office.</a:t>
              </a:r>
            </a:p>
          </xdr:txBody>
        </xdr:sp>
      </mc:Fallback>
    </mc:AlternateContent>
    <xdr:clientData/>
  </xdr:twoCellAnchor>
  <xdr:twoCellAnchor>
    <xdr:from>
      <xdr:col>0</xdr:col>
      <xdr:colOff>264795</xdr:colOff>
      <xdr:row>1</xdr:row>
      <xdr:rowOff>8890</xdr:rowOff>
    </xdr:from>
    <xdr:to>
      <xdr:col>3</xdr:col>
      <xdr:colOff>312420</xdr:colOff>
      <xdr:row>6</xdr:row>
      <xdr:rowOff>97155</xdr:rowOff>
    </xdr:to>
    <xdr:sp textlink="analisis!$H$4">
      <xdr:nvSpPr>
        <xdr:cNvPr id="25" name="Rectángulo redondeado 24"/>
        <xdr:cNvSpPr/>
      </xdr:nvSpPr>
      <xdr:spPr>
        <a:xfrm>
          <a:off x="264795" y="199390"/>
          <a:ext cx="1876425" cy="1040765"/>
        </a:xfrm>
        <a:prstGeom prst="roundRect">
          <a:avLst/>
        </a:prstGeom>
        <a:noFill/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vert="horz" wrap="square" numCol="1" spcCol="0" rtlCol="0" fromWordArt="0" anchor="ctr" anchorCtr="0" forceAA="0" compatLnSpc="1"/>
        <a:lstStyle>
          <a:defPPr>
            <a:defRPr lang="es-E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buClrTx/>
            <a:buSzTx/>
            <a:buFontTx/>
          </a:pPr>
          <a:fld id="{BB962C8B-B14F-4D97-AF65-F5344CB8AC3E}" type="TxLink">
            <a:rPr lang="es-ES" altLang="en-US" sz="3200"/>
            <a:t>26,59 </a:t>
          </a:fld>
          <a:endParaRPr lang="es-ES" altLang="en-US" sz="3200"/>
        </a:p>
      </xdr:txBody>
    </xdr:sp>
    <xdr:clientData/>
  </xdr:twoCellAnchor>
  <xdr:oneCellAnchor>
    <xdr:from>
      <xdr:col>0</xdr:col>
      <xdr:colOff>264795</xdr:colOff>
      <xdr:row>1</xdr:row>
      <xdr:rowOff>8255</xdr:rowOff>
    </xdr:from>
    <xdr:ext cx="1131570" cy="290830"/>
    <xdr:sp>
      <xdr:nvSpPr>
        <xdr:cNvPr id="27" name="Cuadro de texto 26"/>
        <xdr:cNvSpPr txBox="1"/>
      </xdr:nvSpPr>
      <xdr:spPr>
        <a:xfrm>
          <a:off x="264795" y="198755"/>
          <a:ext cx="1131570" cy="29083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es-E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s-ES" altLang="en-US" sz="1200">
              <a:solidFill>
                <a:schemeClr val="bg1"/>
              </a:solidFill>
            </a:rPr>
            <a:t>Items Vendidos</a:t>
          </a:r>
          <a:endParaRPr lang="es-ES" altLang="en-US" sz="1200">
            <a:solidFill>
              <a:schemeClr val="bg1"/>
            </a:solidFill>
          </a:endParaRPr>
        </a:p>
      </xdr:txBody>
    </xdr:sp>
    <xdr:clientData/>
  </xdr:oneCellAnchor>
  <xdr:twoCellAnchor>
    <xdr:from>
      <xdr:col>14</xdr:col>
      <xdr:colOff>79375</xdr:colOff>
      <xdr:row>23</xdr:row>
      <xdr:rowOff>24765</xdr:rowOff>
    </xdr:from>
    <xdr:to>
      <xdr:col>19</xdr:col>
      <xdr:colOff>200660</xdr:colOff>
      <xdr:row>35</xdr:row>
      <xdr:rowOff>168275</xdr:rowOff>
    </xdr:to>
    <xdr:graphicFrame>
      <xdr:nvGraphicFramePr>
        <xdr:cNvPr id="28" name="Gráfico 27"/>
        <xdr:cNvGraphicFramePr/>
      </xdr:nvGraphicFramePr>
      <xdr:xfrm>
        <a:off x="8613775" y="4406265"/>
        <a:ext cx="3169285" cy="24295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0</xdr:col>
      <xdr:colOff>283845</xdr:colOff>
      <xdr:row>26</xdr:row>
      <xdr:rowOff>48895</xdr:rowOff>
    </xdr:from>
    <xdr:to>
      <xdr:col>3</xdr:col>
      <xdr:colOff>271145</xdr:colOff>
      <xdr:row>30</xdr:row>
      <xdr:rowOff>80010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9" name="Discuento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iscuent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3845" y="5001895"/>
              <a:ext cx="1816100" cy="79311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Esta forma representa un segmento.
Los segmentos no se pueden usar en esta versión. Actualice a la versión más reciente de WPS Office.</a:t>
              </a:r>
            </a:p>
          </xdr:txBody>
        </xdr:sp>
      </mc:Fallback>
    </mc:AlternateContent>
    <xdr:clientData/>
  </xdr:twoCellAnchor>
  <xdr:oneCellAnchor>
    <xdr:from>
      <xdr:col>15</xdr:col>
      <xdr:colOff>23495</xdr:colOff>
      <xdr:row>21</xdr:row>
      <xdr:rowOff>151765</xdr:rowOff>
    </xdr:from>
    <xdr:ext cx="2080260" cy="290830"/>
    <xdr:sp>
      <xdr:nvSpPr>
        <xdr:cNvPr id="30" name="Cuadro de texto 29"/>
        <xdr:cNvSpPr txBox="1"/>
      </xdr:nvSpPr>
      <xdr:spPr>
        <a:xfrm>
          <a:off x="9167495" y="4152265"/>
          <a:ext cx="2080260" cy="29083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es-E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s-ES" altLang="en-US" sz="1200">
              <a:solidFill>
                <a:schemeClr val="bg1"/>
              </a:solidFill>
            </a:rPr>
            <a:t>% de ventas por tipo de cliente</a:t>
          </a:r>
          <a:endParaRPr lang="es-ES" altLang="en-US" sz="1200">
            <a:solidFill>
              <a:schemeClr val="bg1"/>
            </a:solidFill>
          </a:endParaRPr>
        </a:p>
      </xdr:txBody>
    </xdr:sp>
    <xdr:clientData/>
  </xdr:oneCellAnchor>
  <xdr:twoCellAnchor>
    <xdr:from>
      <xdr:col>0</xdr:col>
      <xdr:colOff>248285</xdr:colOff>
      <xdr:row>31</xdr:row>
      <xdr:rowOff>127000</xdr:rowOff>
    </xdr:from>
    <xdr:to>
      <xdr:col>3</xdr:col>
      <xdr:colOff>307975</xdr:colOff>
      <xdr:row>35</xdr:row>
      <xdr:rowOff>130175</xdr:rowOff>
    </xdr:to>
    <xdr:sp textlink="analisis!$H$4">
      <xdr:nvSpPr>
        <xdr:cNvPr id="31" name="Rectángulo redondeado 30"/>
        <xdr:cNvSpPr/>
      </xdr:nvSpPr>
      <xdr:spPr>
        <a:xfrm>
          <a:off x="248285" y="6032500"/>
          <a:ext cx="1888490" cy="76517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vert="horz" wrap="square" numCol="1" spcCol="0" rtlCol="0" fromWordArt="0" anchor="ctr" anchorCtr="0" forceAA="0" compatLnSpc="1"/>
        <a:lstStyle>
          <a:defPPr>
            <a:defRPr lang="es-E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buClrTx/>
            <a:buSzTx/>
            <a:buFontTx/>
          </a:pPr>
          <a:fld id="{BB962C8B-B14F-4D97-AF65-F5344CB8AC3E}" type="TxLink">
            <a:rPr lang="es-ES" altLang="en-US" sz="3200"/>
            <a:t>26,59 </a:t>
          </a:fld>
          <a:endParaRPr lang="es-ES" altLang="en-US" sz="3200"/>
        </a:p>
      </xdr:txBody>
    </xdr:sp>
    <xdr:clientData/>
  </xdr:twoCellAnchor>
  <xdr:oneCellAnchor>
    <xdr:from>
      <xdr:col>0</xdr:col>
      <xdr:colOff>142240</xdr:colOff>
      <xdr:row>31</xdr:row>
      <xdr:rowOff>10160</xdr:rowOff>
    </xdr:from>
    <xdr:ext cx="2171700" cy="290830"/>
    <xdr:sp>
      <xdr:nvSpPr>
        <xdr:cNvPr id="32" name="Cuadro de texto 31"/>
        <xdr:cNvSpPr txBox="1"/>
      </xdr:nvSpPr>
      <xdr:spPr>
        <a:xfrm>
          <a:off x="142240" y="5915660"/>
          <a:ext cx="2171700" cy="29083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es-E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s-ES" altLang="en-US" sz="1200">
              <a:solidFill>
                <a:schemeClr val="bg1"/>
              </a:solidFill>
            </a:rPr>
            <a:t>Promedio de ultimo dia de visita</a:t>
          </a:r>
          <a:endParaRPr lang="es-ES" altLang="en-US" sz="1200">
            <a:solidFill>
              <a:schemeClr val="bg1"/>
            </a:solidFill>
          </a:endParaRPr>
        </a:p>
      </xdr:txBody>
    </xdr:sp>
    <xdr:clientData/>
  </xdr:oneCellAnchor>
  <xdr:twoCellAnchor>
    <xdr:from>
      <xdr:col>3</xdr:col>
      <xdr:colOff>584200</xdr:colOff>
      <xdr:row>3</xdr:row>
      <xdr:rowOff>100965</xdr:rowOff>
    </xdr:from>
    <xdr:to>
      <xdr:col>7</xdr:col>
      <xdr:colOff>297815</xdr:colOff>
      <xdr:row>8</xdr:row>
      <xdr:rowOff>26035</xdr:rowOff>
    </xdr:to>
    <xdr:graphicFrame>
      <xdr:nvGraphicFramePr>
        <xdr:cNvPr id="33" name="Gráfico 32"/>
        <xdr:cNvGraphicFramePr/>
      </xdr:nvGraphicFramePr>
      <xdr:xfrm>
        <a:off x="2413000" y="672465"/>
        <a:ext cx="2152015" cy="8775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536575</xdr:colOff>
      <xdr:row>2</xdr:row>
      <xdr:rowOff>149225</xdr:rowOff>
    </xdr:from>
    <xdr:to>
      <xdr:col>11</xdr:col>
      <xdr:colOff>428625</xdr:colOff>
      <xdr:row>7</xdr:row>
      <xdr:rowOff>113030</xdr:rowOff>
    </xdr:to>
    <xdr:graphicFrame>
      <xdr:nvGraphicFramePr>
        <xdr:cNvPr id="34" name="Gráfico 33"/>
        <xdr:cNvGraphicFramePr/>
      </xdr:nvGraphicFramePr>
      <xdr:xfrm>
        <a:off x="4803775" y="530225"/>
        <a:ext cx="2330450" cy="9163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049.8222222222" refreshedBy="Anderzon" recordCount="350">
  <cacheSource type="worksheet">
    <worksheetSource name="Behavior_DL"/>
  </cacheSource>
  <cacheFields count="12">
    <cacheField name="Customer ID" numFmtId="0">
      <sharedItems containsSemiMixedTypes="0" containsString="0" containsNumber="1" containsInteger="1" minValue="101" maxValue="450" count="350"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</sharedItems>
    </cacheField>
    <cacheField name="Gender" numFmtId="0">
      <sharedItems count="2">
        <s v="Female"/>
        <s v="Male"/>
      </sharedItems>
    </cacheField>
    <cacheField name="Age" numFmtId="0">
      <sharedItems containsSemiMixedTypes="0" containsString="0" containsNumber="1" containsInteger="1" minValue="26" maxValue="43" count="16">
        <n v="29"/>
        <n v="34"/>
        <n v="43"/>
        <n v="30"/>
        <n v="27"/>
        <n v="37"/>
        <n v="31"/>
        <n v="35"/>
        <n v="41"/>
        <n v="28"/>
        <n v="32"/>
        <n v="36"/>
        <n v="33"/>
        <n v="42"/>
        <n v="26"/>
        <n v="38"/>
      </sharedItems>
      <fieldGroup base="2">
        <rangePr autoStart="0" autoEnd="0" startNum="25" endNum="45" groupInterval="5"/>
        <groupItems count="6">
          <s v="&lt;25"/>
          <s v="25-29"/>
          <s v="30-34"/>
          <s v="35-39"/>
          <s v="40-45"/>
          <s v="&gt;45"/>
        </groupItems>
      </fieldGroup>
    </cacheField>
    <cacheField name="City" numFmtId="0">
      <sharedItems count="6">
        <s v="New York"/>
        <s v="Los Angeles"/>
        <s v="Chicago"/>
        <s v="San Francisco"/>
        <s v="Miami"/>
        <s v="Houston"/>
      </sharedItems>
    </cacheField>
    <cacheField name="Membership Type" numFmtId="0">
      <sharedItems count="3">
        <s v="Gold"/>
        <s v="Silver"/>
        <s v="Bronze"/>
      </sharedItems>
    </cacheField>
    <cacheField name="Total Spend" numFmtId="0">
      <sharedItems containsSemiMixedTypes="0" containsString="0" containsNumber="1" minValue="410.8" maxValue="1520.1" count="76">
        <n v="1120.2"/>
        <n v="780.5"/>
        <n v="510.75"/>
        <n v="1480.3"/>
        <n v="720.4"/>
        <n v="440.8"/>
        <n v="1150.6"/>
        <n v="800.9"/>
        <n v="495.25"/>
        <n v="1520.1"/>
        <n v="690.3"/>
        <n v="470.5"/>
        <n v="1200.8"/>
        <n v="820.75"/>
        <n v="530.4"/>
        <n v="1360.2"/>
        <n v="700.6"/>
        <n v="450.9"/>
        <n v="1170.3"/>
        <n v="790.2"/>
        <n v="505.75"/>
        <n v="1470.5"/>
        <n v="710.4"/>
        <n v="430.8"/>
        <n v="1140.6"/>
        <n v="810.9"/>
        <n v="485.25"/>
        <n v="1500.1"/>
        <n v="670.3"/>
        <n v="460.5"/>
        <n v="1190.8"/>
        <n v="830.75"/>
        <n v="520.4"/>
        <n v="1370.2"/>
        <n v="690.6"/>
        <n v="440.9"/>
        <n v="1160.3"/>
        <n v="800.2"/>
        <n v="500.75"/>
        <n v="1460.5"/>
        <n v="700.4"/>
        <n v="420.8"/>
        <n v="1130.6"/>
        <n v="820.9"/>
        <n v="480.25"/>
        <n v="1490.1"/>
        <n v="680.3"/>
        <n v="1180.8"/>
        <n v="1420.8"/>
        <n v="730.4"/>
        <n v="450.6"/>
        <n v="1210.6"/>
        <n v="780.9"/>
        <n v="1390.2"/>
        <n v="670.6"/>
        <n v="460.9"/>
        <n v="810.2"/>
        <n v="515.75"/>
        <n v="1450.5"/>
        <n v="690.4"/>
        <n v="525.75"/>
        <n v="830.9"/>
        <n v="490.25"/>
        <n v="1480.1"/>
        <n v="480.5"/>
        <n v="1170.8"/>
        <n v="1440.5"/>
        <n v="410.8"/>
        <n v="1160.6"/>
        <n v="660.3"/>
        <n v="430.5"/>
        <n v="780.2"/>
        <n v="450.8"/>
        <n v="475.25"/>
        <n v="770.2"/>
        <n v="440.5"/>
      </sharedItems>
    </cacheField>
    <cacheField name="Items Purchased" numFmtId="0">
      <sharedItems containsSemiMixedTypes="0" containsString="0" containsNumber="1" containsInteger="1" minValue="7" maxValue="21" count="15">
        <n v="14"/>
        <n v="11"/>
        <n v="9"/>
        <n v="19"/>
        <n v="13"/>
        <n v="8"/>
        <n v="15"/>
        <n v="12"/>
        <n v="10"/>
        <n v="21"/>
        <n v="7"/>
        <n v="16"/>
        <n v="18"/>
        <n v="20"/>
        <n v="17"/>
      </sharedItems>
    </cacheField>
    <cacheField name="Average Rating" numFmtId="0">
      <sharedItems containsSemiMixedTypes="0" containsString="0" containsNumber="1" minValue="3" maxValue="4.9" count="20">
        <n v="4.6"/>
        <n v="4.1"/>
        <n v="3.4"/>
        <n v="4.7"/>
        <n v="4"/>
        <n v="3.1"/>
        <n v="4.5"/>
        <n v="4.2"/>
        <n v="3.6"/>
        <n v="4.8"/>
        <n v="3.8"/>
        <n v="3.2"/>
        <n v="4.3"/>
        <n v="4.4"/>
        <n v="3.5"/>
        <n v="4.9"/>
        <n v="3.7"/>
        <n v="3"/>
        <n v="3.3"/>
        <n v="3.9"/>
      </sharedItems>
    </cacheField>
    <cacheField name="DiscountApplied" numFmtId="0">
      <sharedItems count="2">
        <b v="1"/>
        <b v="0"/>
      </sharedItems>
    </cacheField>
    <cacheField name="Days Since Last Purchase" numFmtId="0">
      <sharedItems containsSemiMixedTypes="0" containsString="0" containsNumber="1" containsInteger="1" minValue="9" maxValue="63" count="54">
        <n v="25"/>
        <n v="18"/>
        <n v="42"/>
        <n v="12"/>
        <n v="55"/>
        <n v="22"/>
        <n v="28"/>
        <n v="14"/>
        <n v="40"/>
        <n v="9"/>
        <n v="34"/>
        <n v="20"/>
        <n v="21"/>
        <n v="15"/>
        <n v="38"/>
        <n v="11"/>
        <n v="48"/>
        <n v="29"/>
        <n v="16"/>
        <n v="41"/>
        <n v="13"/>
        <n v="54"/>
        <n v="23"/>
        <n v="27"/>
        <n v="39"/>
        <n v="10"/>
        <n v="33"/>
        <n v="19"/>
        <n v="37"/>
        <n v="47"/>
        <n v="24"/>
        <n v="17"/>
        <n v="53"/>
        <n v="26"/>
        <n v="32"/>
        <n v="50"/>
        <n v="35"/>
        <n v="46"/>
        <n v="52"/>
        <n v="56"/>
        <n v="57"/>
        <n v="30"/>
        <n v="36"/>
        <n v="43"/>
        <n v="58"/>
        <n v="31"/>
        <n v="44"/>
        <n v="59"/>
        <n v="45"/>
        <n v="60"/>
        <n v="61"/>
        <n v="62"/>
        <n v="63"/>
        <n v="49"/>
      </sharedItems>
    </cacheField>
    <cacheField name="Satisfaction Level" numFmtId="0">
      <sharedItems count="4">
        <s v="Satisfied"/>
        <s v="Neutral"/>
        <s v="Unsatisfied"/>
        <s v="N/A"/>
      </sharedItems>
    </cacheField>
    <cacheField name="benchmark" numFmtId="0" formula="845" databaseField="0"/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50">
  <r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1"/>
    <x v="1"/>
    <x v="1"/>
  </r>
  <r>
    <x v="2"/>
    <x v="0"/>
    <x v="2"/>
    <x v="2"/>
    <x v="2"/>
    <x v="2"/>
    <x v="2"/>
    <x v="2"/>
    <x v="0"/>
    <x v="2"/>
    <x v="2"/>
  </r>
  <r>
    <x v="3"/>
    <x v="1"/>
    <x v="3"/>
    <x v="3"/>
    <x v="0"/>
    <x v="3"/>
    <x v="3"/>
    <x v="3"/>
    <x v="1"/>
    <x v="3"/>
    <x v="0"/>
  </r>
  <r>
    <x v="4"/>
    <x v="1"/>
    <x v="4"/>
    <x v="4"/>
    <x v="1"/>
    <x v="4"/>
    <x v="4"/>
    <x v="4"/>
    <x v="0"/>
    <x v="4"/>
    <x v="2"/>
  </r>
  <r>
    <x v="5"/>
    <x v="0"/>
    <x v="5"/>
    <x v="5"/>
    <x v="2"/>
    <x v="5"/>
    <x v="5"/>
    <x v="5"/>
    <x v="1"/>
    <x v="5"/>
    <x v="1"/>
  </r>
  <r>
    <x v="6"/>
    <x v="0"/>
    <x v="6"/>
    <x v="0"/>
    <x v="0"/>
    <x v="6"/>
    <x v="6"/>
    <x v="6"/>
    <x v="0"/>
    <x v="6"/>
    <x v="0"/>
  </r>
  <r>
    <x v="7"/>
    <x v="1"/>
    <x v="7"/>
    <x v="1"/>
    <x v="1"/>
    <x v="7"/>
    <x v="7"/>
    <x v="7"/>
    <x v="1"/>
    <x v="7"/>
    <x v="1"/>
  </r>
  <r>
    <x v="8"/>
    <x v="0"/>
    <x v="8"/>
    <x v="2"/>
    <x v="2"/>
    <x v="8"/>
    <x v="8"/>
    <x v="8"/>
    <x v="0"/>
    <x v="8"/>
    <x v="2"/>
  </r>
  <r>
    <x v="9"/>
    <x v="1"/>
    <x v="9"/>
    <x v="3"/>
    <x v="0"/>
    <x v="9"/>
    <x v="9"/>
    <x v="9"/>
    <x v="1"/>
    <x v="9"/>
    <x v="0"/>
  </r>
  <r>
    <x v="10"/>
    <x v="1"/>
    <x v="10"/>
    <x v="4"/>
    <x v="1"/>
    <x v="10"/>
    <x v="1"/>
    <x v="10"/>
    <x v="0"/>
    <x v="10"/>
    <x v="2"/>
  </r>
  <r>
    <x v="11"/>
    <x v="0"/>
    <x v="11"/>
    <x v="5"/>
    <x v="2"/>
    <x v="11"/>
    <x v="10"/>
    <x v="11"/>
    <x v="1"/>
    <x v="11"/>
    <x v="1"/>
  </r>
  <r>
    <x v="12"/>
    <x v="0"/>
    <x v="3"/>
    <x v="0"/>
    <x v="0"/>
    <x v="12"/>
    <x v="11"/>
    <x v="12"/>
    <x v="0"/>
    <x v="12"/>
    <x v="0"/>
  </r>
  <r>
    <x v="13"/>
    <x v="1"/>
    <x v="12"/>
    <x v="1"/>
    <x v="1"/>
    <x v="13"/>
    <x v="4"/>
    <x v="13"/>
    <x v="1"/>
    <x v="13"/>
    <x v="0"/>
  </r>
  <r>
    <x v="14"/>
    <x v="0"/>
    <x v="13"/>
    <x v="2"/>
    <x v="2"/>
    <x v="14"/>
    <x v="2"/>
    <x v="14"/>
    <x v="0"/>
    <x v="14"/>
    <x v="2"/>
  </r>
  <r>
    <x v="15"/>
    <x v="1"/>
    <x v="0"/>
    <x v="3"/>
    <x v="0"/>
    <x v="15"/>
    <x v="12"/>
    <x v="15"/>
    <x v="1"/>
    <x v="15"/>
    <x v="0"/>
  </r>
  <r>
    <x v="16"/>
    <x v="1"/>
    <x v="14"/>
    <x v="4"/>
    <x v="1"/>
    <x v="16"/>
    <x v="7"/>
    <x v="16"/>
    <x v="0"/>
    <x v="16"/>
    <x v="2"/>
  </r>
  <r>
    <x v="17"/>
    <x v="0"/>
    <x v="15"/>
    <x v="5"/>
    <x v="2"/>
    <x v="17"/>
    <x v="5"/>
    <x v="17"/>
    <x v="1"/>
    <x v="0"/>
    <x v="1"/>
  </r>
  <r>
    <x v="18"/>
    <x v="0"/>
    <x v="10"/>
    <x v="0"/>
    <x v="0"/>
    <x v="18"/>
    <x v="0"/>
    <x v="3"/>
    <x v="0"/>
    <x v="17"/>
    <x v="0"/>
  </r>
  <r>
    <x v="19"/>
    <x v="1"/>
    <x v="1"/>
    <x v="1"/>
    <x v="1"/>
    <x v="19"/>
    <x v="1"/>
    <x v="4"/>
    <x v="1"/>
    <x v="18"/>
    <x v="1"/>
  </r>
  <r>
    <x v="20"/>
    <x v="0"/>
    <x v="2"/>
    <x v="2"/>
    <x v="2"/>
    <x v="20"/>
    <x v="8"/>
    <x v="18"/>
    <x v="0"/>
    <x v="19"/>
    <x v="2"/>
  </r>
  <r>
    <x v="21"/>
    <x v="1"/>
    <x v="3"/>
    <x v="3"/>
    <x v="0"/>
    <x v="21"/>
    <x v="13"/>
    <x v="9"/>
    <x v="1"/>
    <x v="20"/>
    <x v="0"/>
  </r>
  <r>
    <x v="22"/>
    <x v="1"/>
    <x v="4"/>
    <x v="4"/>
    <x v="1"/>
    <x v="22"/>
    <x v="4"/>
    <x v="1"/>
    <x v="0"/>
    <x v="21"/>
    <x v="2"/>
  </r>
  <r>
    <x v="23"/>
    <x v="0"/>
    <x v="5"/>
    <x v="5"/>
    <x v="2"/>
    <x v="23"/>
    <x v="10"/>
    <x v="2"/>
    <x v="1"/>
    <x v="22"/>
    <x v="1"/>
  </r>
  <r>
    <x v="24"/>
    <x v="0"/>
    <x v="6"/>
    <x v="0"/>
    <x v="0"/>
    <x v="24"/>
    <x v="6"/>
    <x v="0"/>
    <x v="0"/>
    <x v="23"/>
    <x v="0"/>
  </r>
  <r>
    <x v="25"/>
    <x v="1"/>
    <x v="7"/>
    <x v="1"/>
    <x v="1"/>
    <x v="25"/>
    <x v="7"/>
    <x v="12"/>
    <x v="1"/>
    <x v="20"/>
    <x v="1"/>
  </r>
  <r>
    <x v="26"/>
    <x v="0"/>
    <x v="8"/>
    <x v="2"/>
    <x v="2"/>
    <x v="26"/>
    <x v="2"/>
    <x v="8"/>
    <x v="0"/>
    <x v="24"/>
    <x v="2"/>
  </r>
  <r>
    <x v="27"/>
    <x v="1"/>
    <x v="9"/>
    <x v="3"/>
    <x v="0"/>
    <x v="27"/>
    <x v="9"/>
    <x v="15"/>
    <x v="1"/>
    <x v="25"/>
    <x v="0"/>
  </r>
  <r>
    <x v="28"/>
    <x v="1"/>
    <x v="10"/>
    <x v="4"/>
    <x v="1"/>
    <x v="28"/>
    <x v="8"/>
    <x v="10"/>
    <x v="0"/>
    <x v="26"/>
    <x v="2"/>
  </r>
  <r>
    <x v="29"/>
    <x v="0"/>
    <x v="11"/>
    <x v="5"/>
    <x v="2"/>
    <x v="29"/>
    <x v="5"/>
    <x v="5"/>
    <x v="1"/>
    <x v="27"/>
    <x v="1"/>
  </r>
  <r>
    <x v="30"/>
    <x v="0"/>
    <x v="3"/>
    <x v="0"/>
    <x v="0"/>
    <x v="30"/>
    <x v="11"/>
    <x v="6"/>
    <x v="0"/>
    <x v="11"/>
    <x v="0"/>
  </r>
  <r>
    <x v="31"/>
    <x v="1"/>
    <x v="12"/>
    <x v="1"/>
    <x v="1"/>
    <x v="31"/>
    <x v="4"/>
    <x v="7"/>
    <x v="1"/>
    <x v="7"/>
    <x v="0"/>
  </r>
  <r>
    <x v="32"/>
    <x v="0"/>
    <x v="13"/>
    <x v="2"/>
    <x v="2"/>
    <x v="32"/>
    <x v="2"/>
    <x v="14"/>
    <x v="0"/>
    <x v="28"/>
    <x v="2"/>
  </r>
  <r>
    <x v="33"/>
    <x v="1"/>
    <x v="0"/>
    <x v="3"/>
    <x v="0"/>
    <x v="33"/>
    <x v="12"/>
    <x v="3"/>
    <x v="1"/>
    <x v="25"/>
    <x v="0"/>
  </r>
  <r>
    <x v="34"/>
    <x v="1"/>
    <x v="14"/>
    <x v="4"/>
    <x v="1"/>
    <x v="34"/>
    <x v="7"/>
    <x v="19"/>
    <x v="0"/>
    <x v="29"/>
    <x v="2"/>
  </r>
  <r>
    <x v="35"/>
    <x v="0"/>
    <x v="15"/>
    <x v="5"/>
    <x v="2"/>
    <x v="35"/>
    <x v="5"/>
    <x v="11"/>
    <x v="1"/>
    <x v="30"/>
    <x v="1"/>
  </r>
  <r>
    <x v="36"/>
    <x v="0"/>
    <x v="10"/>
    <x v="0"/>
    <x v="0"/>
    <x v="36"/>
    <x v="0"/>
    <x v="13"/>
    <x v="0"/>
    <x v="5"/>
    <x v="0"/>
  </r>
  <r>
    <x v="37"/>
    <x v="1"/>
    <x v="1"/>
    <x v="1"/>
    <x v="1"/>
    <x v="37"/>
    <x v="1"/>
    <x v="1"/>
    <x v="1"/>
    <x v="31"/>
    <x v="1"/>
  </r>
  <r>
    <x v="38"/>
    <x v="0"/>
    <x v="2"/>
    <x v="2"/>
    <x v="2"/>
    <x v="38"/>
    <x v="8"/>
    <x v="18"/>
    <x v="0"/>
    <x v="8"/>
    <x v="2"/>
  </r>
  <r>
    <x v="39"/>
    <x v="1"/>
    <x v="3"/>
    <x v="3"/>
    <x v="0"/>
    <x v="39"/>
    <x v="13"/>
    <x v="9"/>
    <x v="1"/>
    <x v="3"/>
    <x v="0"/>
  </r>
  <r>
    <x v="40"/>
    <x v="1"/>
    <x v="4"/>
    <x v="4"/>
    <x v="1"/>
    <x v="40"/>
    <x v="4"/>
    <x v="4"/>
    <x v="0"/>
    <x v="32"/>
    <x v="2"/>
  </r>
  <r>
    <x v="41"/>
    <x v="0"/>
    <x v="5"/>
    <x v="5"/>
    <x v="2"/>
    <x v="41"/>
    <x v="10"/>
    <x v="5"/>
    <x v="1"/>
    <x v="12"/>
    <x v="1"/>
  </r>
  <r>
    <x v="42"/>
    <x v="0"/>
    <x v="6"/>
    <x v="0"/>
    <x v="0"/>
    <x v="42"/>
    <x v="6"/>
    <x v="6"/>
    <x v="0"/>
    <x v="33"/>
    <x v="0"/>
  </r>
  <r>
    <x v="43"/>
    <x v="1"/>
    <x v="7"/>
    <x v="1"/>
    <x v="1"/>
    <x v="43"/>
    <x v="7"/>
    <x v="12"/>
    <x v="1"/>
    <x v="3"/>
    <x v="1"/>
  </r>
  <r>
    <x v="44"/>
    <x v="0"/>
    <x v="8"/>
    <x v="2"/>
    <x v="2"/>
    <x v="44"/>
    <x v="2"/>
    <x v="8"/>
    <x v="0"/>
    <x v="14"/>
    <x v="2"/>
  </r>
  <r>
    <x v="45"/>
    <x v="1"/>
    <x v="9"/>
    <x v="3"/>
    <x v="0"/>
    <x v="45"/>
    <x v="9"/>
    <x v="15"/>
    <x v="1"/>
    <x v="9"/>
    <x v="0"/>
  </r>
  <r>
    <x v="46"/>
    <x v="1"/>
    <x v="10"/>
    <x v="4"/>
    <x v="1"/>
    <x v="46"/>
    <x v="8"/>
    <x v="10"/>
    <x v="0"/>
    <x v="34"/>
    <x v="2"/>
  </r>
  <r>
    <x v="47"/>
    <x v="0"/>
    <x v="11"/>
    <x v="5"/>
    <x v="2"/>
    <x v="11"/>
    <x v="5"/>
    <x v="17"/>
    <x v="1"/>
    <x v="1"/>
    <x v="1"/>
  </r>
  <r>
    <x v="48"/>
    <x v="0"/>
    <x v="3"/>
    <x v="0"/>
    <x v="0"/>
    <x v="47"/>
    <x v="11"/>
    <x v="3"/>
    <x v="0"/>
    <x v="27"/>
    <x v="0"/>
  </r>
  <r>
    <x v="49"/>
    <x v="1"/>
    <x v="1"/>
    <x v="1"/>
    <x v="1"/>
    <x v="19"/>
    <x v="1"/>
    <x v="4"/>
    <x v="1"/>
    <x v="13"/>
    <x v="1"/>
  </r>
  <r>
    <x v="50"/>
    <x v="0"/>
    <x v="2"/>
    <x v="2"/>
    <x v="2"/>
    <x v="20"/>
    <x v="8"/>
    <x v="18"/>
    <x v="0"/>
    <x v="24"/>
    <x v="2"/>
  </r>
  <r>
    <x v="51"/>
    <x v="1"/>
    <x v="3"/>
    <x v="3"/>
    <x v="0"/>
    <x v="21"/>
    <x v="13"/>
    <x v="9"/>
    <x v="1"/>
    <x v="20"/>
    <x v="0"/>
  </r>
  <r>
    <x v="52"/>
    <x v="1"/>
    <x v="4"/>
    <x v="4"/>
    <x v="1"/>
    <x v="22"/>
    <x v="4"/>
    <x v="1"/>
    <x v="0"/>
    <x v="21"/>
    <x v="2"/>
  </r>
  <r>
    <x v="53"/>
    <x v="0"/>
    <x v="5"/>
    <x v="5"/>
    <x v="2"/>
    <x v="23"/>
    <x v="10"/>
    <x v="2"/>
    <x v="1"/>
    <x v="22"/>
    <x v="1"/>
  </r>
  <r>
    <x v="54"/>
    <x v="0"/>
    <x v="6"/>
    <x v="0"/>
    <x v="0"/>
    <x v="24"/>
    <x v="6"/>
    <x v="0"/>
    <x v="0"/>
    <x v="23"/>
    <x v="0"/>
  </r>
  <r>
    <x v="55"/>
    <x v="1"/>
    <x v="7"/>
    <x v="1"/>
    <x v="1"/>
    <x v="25"/>
    <x v="7"/>
    <x v="12"/>
    <x v="1"/>
    <x v="20"/>
    <x v="1"/>
  </r>
  <r>
    <x v="56"/>
    <x v="0"/>
    <x v="8"/>
    <x v="2"/>
    <x v="2"/>
    <x v="26"/>
    <x v="2"/>
    <x v="8"/>
    <x v="0"/>
    <x v="24"/>
    <x v="2"/>
  </r>
  <r>
    <x v="57"/>
    <x v="1"/>
    <x v="9"/>
    <x v="3"/>
    <x v="0"/>
    <x v="27"/>
    <x v="9"/>
    <x v="15"/>
    <x v="1"/>
    <x v="25"/>
    <x v="0"/>
  </r>
  <r>
    <x v="58"/>
    <x v="1"/>
    <x v="10"/>
    <x v="4"/>
    <x v="1"/>
    <x v="28"/>
    <x v="8"/>
    <x v="10"/>
    <x v="0"/>
    <x v="26"/>
    <x v="2"/>
  </r>
  <r>
    <x v="59"/>
    <x v="0"/>
    <x v="11"/>
    <x v="5"/>
    <x v="2"/>
    <x v="29"/>
    <x v="5"/>
    <x v="5"/>
    <x v="1"/>
    <x v="27"/>
    <x v="1"/>
  </r>
  <r>
    <x v="60"/>
    <x v="0"/>
    <x v="3"/>
    <x v="0"/>
    <x v="0"/>
    <x v="30"/>
    <x v="11"/>
    <x v="6"/>
    <x v="0"/>
    <x v="11"/>
    <x v="0"/>
  </r>
  <r>
    <x v="61"/>
    <x v="1"/>
    <x v="12"/>
    <x v="1"/>
    <x v="1"/>
    <x v="31"/>
    <x v="4"/>
    <x v="7"/>
    <x v="1"/>
    <x v="7"/>
    <x v="0"/>
  </r>
  <r>
    <x v="62"/>
    <x v="0"/>
    <x v="13"/>
    <x v="2"/>
    <x v="2"/>
    <x v="32"/>
    <x v="2"/>
    <x v="14"/>
    <x v="0"/>
    <x v="28"/>
    <x v="2"/>
  </r>
  <r>
    <x v="63"/>
    <x v="1"/>
    <x v="0"/>
    <x v="3"/>
    <x v="0"/>
    <x v="33"/>
    <x v="12"/>
    <x v="3"/>
    <x v="1"/>
    <x v="25"/>
    <x v="0"/>
  </r>
  <r>
    <x v="64"/>
    <x v="1"/>
    <x v="14"/>
    <x v="4"/>
    <x v="1"/>
    <x v="34"/>
    <x v="7"/>
    <x v="19"/>
    <x v="0"/>
    <x v="29"/>
    <x v="2"/>
  </r>
  <r>
    <x v="65"/>
    <x v="0"/>
    <x v="15"/>
    <x v="5"/>
    <x v="2"/>
    <x v="35"/>
    <x v="5"/>
    <x v="11"/>
    <x v="1"/>
    <x v="30"/>
    <x v="1"/>
  </r>
  <r>
    <x v="66"/>
    <x v="0"/>
    <x v="10"/>
    <x v="0"/>
    <x v="0"/>
    <x v="36"/>
    <x v="0"/>
    <x v="13"/>
    <x v="0"/>
    <x v="5"/>
    <x v="0"/>
  </r>
  <r>
    <x v="67"/>
    <x v="1"/>
    <x v="1"/>
    <x v="1"/>
    <x v="1"/>
    <x v="37"/>
    <x v="1"/>
    <x v="1"/>
    <x v="1"/>
    <x v="31"/>
    <x v="1"/>
  </r>
  <r>
    <x v="68"/>
    <x v="0"/>
    <x v="2"/>
    <x v="2"/>
    <x v="2"/>
    <x v="38"/>
    <x v="8"/>
    <x v="18"/>
    <x v="0"/>
    <x v="8"/>
    <x v="2"/>
  </r>
  <r>
    <x v="69"/>
    <x v="1"/>
    <x v="3"/>
    <x v="3"/>
    <x v="0"/>
    <x v="39"/>
    <x v="13"/>
    <x v="9"/>
    <x v="1"/>
    <x v="3"/>
    <x v="0"/>
  </r>
  <r>
    <x v="70"/>
    <x v="1"/>
    <x v="4"/>
    <x v="4"/>
    <x v="1"/>
    <x v="40"/>
    <x v="4"/>
    <x v="4"/>
    <x v="0"/>
    <x v="32"/>
    <x v="2"/>
  </r>
  <r>
    <x v="71"/>
    <x v="0"/>
    <x v="5"/>
    <x v="5"/>
    <x v="2"/>
    <x v="41"/>
    <x v="10"/>
    <x v="5"/>
    <x v="1"/>
    <x v="12"/>
    <x v="3"/>
  </r>
  <r>
    <x v="72"/>
    <x v="0"/>
    <x v="6"/>
    <x v="0"/>
    <x v="0"/>
    <x v="42"/>
    <x v="6"/>
    <x v="6"/>
    <x v="0"/>
    <x v="33"/>
    <x v="0"/>
  </r>
  <r>
    <x v="73"/>
    <x v="1"/>
    <x v="7"/>
    <x v="1"/>
    <x v="1"/>
    <x v="43"/>
    <x v="7"/>
    <x v="12"/>
    <x v="1"/>
    <x v="3"/>
    <x v="1"/>
  </r>
  <r>
    <x v="74"/>
    <x v="0"/>
    <x v="8"/>
    <x v="2"/>
    <x v="2"/>
    <x v="44"/>
    <x v="2"/>
    <x v="8"/>
    <x v="0"/>
    <x v="14"/>
    <x v="2"/>
  </r>
  <r>
    <x v="75"/>
    <x v="1"/>
    <x v="9"/>
    <x v="3"/>
    <x v="0"/>
    <x v="45"/>
    <x v="9"/>
    <x v="15"/>
    <x v="1"/>
    <x v="9"/>
    <x v="0"/>
  </r>
  <r>
    <x v="76"/>
    <x v="1"/>
    <x v="10"/>
    <x v="4"/>
    <x v="1"/>
    <x v="46"/>
    <x v="8"/>
    <x v="10"/>
    <x v="0"/>
    <x v="34"/>
    <x v="2"/>
  </r>
  <r>
    <x v="77"/>
    <x v="0"/>
    <x v="11"/>
    <x v="5"/>
    <x v="2"/>
    <x v="11"/>
    <x v="5"/>
    <x v="17"/>
    <x v="1"/>
    <x v="1"/>
    <x v="1"/>
  </r>
  <r>
    <x v="78"/>
    <x v="0"/>
    <x v="3"/>
    <x v="0"/>
    <x v="0"/>
    <x v="47"/>
    <x v="11"/>
    <x v="3"/>
    <x v="0"/>
    <x v="27"/>
    <x v="0"/>
  </r>
  <r>
    <x v="79"/>
    <x v="1"/>
    <x v="1"/>
    <x v="1"/>
    <x v="1"/>
    <x v="19"/>
    <x v="1"/>
    <x v="4"/>
    <x v="1"/>
    <x v="13"/>
    <x v="1"/>
  </r>
  <r>
    <x v="80"/>
    <x v="0"/>
    <x v="2"/>
    <x v="2"/>
    <x v="2"/>
    <x v="20"/>
    <x v="8"/>
    <x v="18"/>
    <x v="0"/>
    <x v="24"/>
    <x v="2"/>
  </r>
  <r>
    <x v="81"/>
    <x v="1"/>
    <x v="3"/>
    <x v="3"/>
    <x v="0"/>
    <x v="21"/>
    <x v="13"/>
    <x v="9"/>
    <x v="1"/>
    <x v="20"/>
    <x v="0"/>
  </r>
  <r>
    <x v="82"/>
    <x v="1"/>
    <x v="4"/>
    <x v="4"/>
    <x v="1"/>
    <x v="22"/>
    <x v="4"/>
    <x v="1"/>
    <x v="0"/>
    <x v="21"/>
    <x v="2"/>
  </r>
  <r>
    <x v="83"/>
    <x v="0"/>
    <x v="5"/>
    <x v="5"/>
    <x v="2"/>
    <x v="23"/>
    <x v="10"/>
    <x v="2"/>
    <x v="1"/>
    <x v="22"/>
    <x v="1"/>
  </r>
  <r>
    <x v="84"/>
    <x v="0"/>
    <x v="6"/>
    <x v="0"/>
    <x v="0"/>
    <x v="24"/>
    <x v="6"/>
    <x v="0"/>
    <x v="0"/>
    <x v="23"/>
    <x v="0"/>
  </r>
  <r>
    <x v="85"/>
    <x v="1"/>
    <x v="7"/>
    <x v="1"/>
    <x v="1"/>
    <x v="25"/>
    <x v="7"/>
    <x v="12"/>
    <x v="1"/>
    <x v="20"/>
    <x v="1"/>
  </r>
  <r>
    <x v="86"/>
    <x v="0"/>
    <x v="8"/>
    <x v="2"/>
    <x v="2"/>
    <x v="26"/>
    <x v="2"/>
    <x v="8"/>
    <x v="0"/>
    <x v="24"/>
    <x v="2"/>
  </r>
  <r>
    <x v="87"/>
    <x v="1"/>
    <x v="9"/>
    <x v="3"/>
    <x v="0"/>
    <x v="27"/>
    <x v="9"/>
    <x v="15"/>
    <x v="1"/>
    <x v="25"/>
    <x v="0"/>
  </r>
  <r>
    <x v="88"/>
    <x v="1"/>
    <x v="10"/>
    <x v="4"/>
    <x v="1"/>
    <x v="28"/>
    <x v="8"/>
    <x v="10"/>
    <x v="0"/>
    <x v="26"/>
    <x v="2"/>
  </r>
  <r>
    <x v="89"/>
    <x v="0"/>
    <x v="11"/>
    <x v="5"/>
    <x v="2"/>
    <x v="29"/>
    <x v="5"/>
    <x v="5"/>
    <x v="1"/>
    <x v="27"/>
    <x v="1"/>
  </r>
  <r>
    <x v="90"/>
    <x v="0"/>
    <x v="3"/>
    <x v="0"/>
    <x v="0"/>
    <x v="30"/>
    <x v="11"/>
    <x v="6"/>
    <x v="0"/>
    <x v="11"/>
    <x v="0"/>
  </r>
  <r>
    <x v="91"/>
    <x v="1"/>
    <x v="12"/>
    <x v="1"/>
    <x v="1"/>
    <x v="31"/>
    <x v="4"/>
    <x v="7"/>
    <x v="1"/>
    <x v="7"/>
    <x v="0"/>
  </r>
  <r>
    <x v="92"/>
    <x v="0"/>
    <x v="13"/>
    <x v="2"/>
    <x v="2"/>
    <x v="32"/>
    <x v="2"/>
    <x v="14"/>
    <x v="0"/>
    <x v="28"/>
    <x v="2"/>
  </r>
  <r>
    <x v="93"/>
    <x v="1"/>
    <x v="0"/>
    <x v="3"/>
    <x v="0"/>
    <x v="33"/>
    <x v="12"/>
    <x v="3"/>
    <x v="1"/>
    <x v="25"/>
    <x v="0"/>
  </r>
  <r>
    <x v="94"/>
    <x v="1"/>
    <x v="14"/>
    <x v="4"/>
    <x v="1"/>
    <x v="34"/>
    <x v="7"/>
    <x v="19"/>
    <x v="0"/>
    <x v="29"/>
    <x v="2"/>
  </r>
  <r>
    <x v="95"/>
    <x v="0"/>
    <x v="15"/>
    <x v="5"/>
    <x v="2"/>
    <x v="35"/>
    <x v="5"/>
    <x v="11"/>
    <x v="1"/>
    <x v="30"/>
    <x v="1"/>
  </r>
  <r>
    <x v="96"/>
    <x v="0"/>
    <x v="10"/>
    <x v="0"/>
    <x v="0"/>
    <x v="36"/>
    <x v="0"/>
    <x v="13"/>
    <x v="0"/>
    <x v="5"/>
    <x v="0"/>
  </r>
  <r>
    <x v="97"/>
    <x v="1"/>
    <x v="1"/>
    <x v="1"/>
    <x v="1"/>
    <x v="37"/>
    <x v="1"/>
    <x v="1"/>
    <x v="1"/>
    <x v="31"/>
    <x v="1"/>
  </r>
  <r>
    <x v="98"/>
    <x v="0"/>
    <x v="2"/>
    <x v="2"/>
    <x v="2"/>
    <x v="38"/>
    <x v="8"/>
    <x v="18"/>
    <x v="0"/>
    <x v="8"/>
    <x v="2"/>
  </r>
  <r>
    <x v="99"/>
    <x v="1"/>
    <x v="3"/>
    <x v="3"/>
    <x v="0"/>
    <x v="39"/>
    <x v="13"/>
    <x v="9"/>
    <x v="1"/>
    <x v="3"/>
    <x v="0"/>
  </r>
  <r>
    <x v="100"/>
    <x v="1"/>
    <x v="4"/>
    <x v="4"/>
    <x v="1"/>
    <x v="40"/>
    <x v="4"/>
    <x v="4"/>
    <x v="0"/>
    <x v="32"/>
    <x v="2"/>
  </r>
  <r>
    <x v="101"/>
    <x v="0"/>
    <x v="5"/>
    <x v="5"/>
    <x v="2"/>
    <x v="41"/>
    <x v="10"/>
    <x v="5"/>
    <x v="1"/>
    <x v="12"/>
    <x v="1"/>
  </r>
  <r>
    <x v="102"/>
    <x v="0"/>
    <x v="6"/>
    <x v="0"/>
    <x v="0"/>
    <x v="42"/>
    <x v="6"/>
    <x v="6"/>
    <x v="0"/>
    <x v="33"/>
    <x v="0"/>
  </r>
  <r>
    <x v="103"/>
    <x v="1"/>
    <x v="7"/>
    <x v="1"/>
    <x v="1"/>
    <x v="43"/>
    <x v="7"/>
    <x v="12"/>
    <x v="1"/>
    <x v="3"/>
    <x v="1"/>
  </r>
  <r>
    <x v="104"/>
    <x v="0"/>
    <x v="8"/>
    <x v="2"/>
    <x v="2"/>
    <x v="44"/>
    <x v="2"/>
    <x v="8"/>
    <x v="0"/>
    <x v="14"/>
    <x v="2"/>
  </r>
  <r>
    <x v="105"/>
    <x v="1"/>
    <x v="9"/>
    <x v="3"/>
    <x v="0"/>
    <x v="45"/>
    <x v="9"/>
    <x v="15"/>
    <x v="1"/>
    <x v="9"/>
    <x v="0"/>
  </r>
  <r>
    <x v="106"/>
    <x v="1"/>
    <x v="10"/>
    <x v="4"/>
    <x v="1"/>
    <x v="46"/>
    <x v="8"/>
    <x v="10"/>
    <x v="0"/>
    <x v="34"/>
    <x v="2"/>
  </r>
  <r>
    <x v="107"/>
    <x v="0"/>
    <x v="11"/>
    <x v="5"/>
    <x v="2"/>
    <x v="11"/>
    <x v="5"/>
    <x v="17"/>
    <x v="1"/>
    <x v="1"/>
    <x v="1"/>
  </r>
  <r>
    <x v="108"/>
    <x v="0"/>
    <x v="3"/>
    <x v="0"/>
    <x v="0"/>
    <x v="47"/>
    <x v="11"/>
    <x v="3"/>
    <x v="0"/>
    <x v="27"/>
    <x v="0"/>
  </r>
  <r>
    <x v="109"/>
    <x v="1"/>
    <x v="1"/>
    <x v="1"/>
    <x v="1"/>
    <x v="19"/>
    <x v="1"/>
    <x v="4"/>
    <x v="1"/>
    <x v="13"/>
    <x v="1"/>
  </r>
  <r>
    <x v="110"/>
    <x v="0"/>
    <x v="2"/>
    <x v="2"/>
    <x v="2"/>
    <x v="20"/>
    <x v="8"/>
    <x v="18"/>
    <x v="0"/>
    <x v="24"/>
    <x v="2"/>
  </r>
  <r>
    <x v="111"/>
    <x v="1"/>
    <x v="3"/>
    <x v="3"/>
    <x v="0"/>
    <x v="21"/>
    <x v="13"/>
    <x v="9"/>
    <x v="1"/>
    <x v="20"/>
    <x v="0"/>
  </r>
  <r>
    <x v="112"/>
    <x v="1"/>
    <x v="4"/>
    <x v="4"/>
    <x v="1"/>
    <x v="22"/>
    <x v="4"/>
    <x v="1"/>
    <x v="0"/>
    <x v="21"/>
    <x v="2"/>
  </r>
  <r>
    <x v="113"/>
    <x v="0"/>
    <x v="5"/>
    <x v="5"/>
    <x v="2"/>
    <x v="23"/>
    <x v="10"/>
    <x v="2"/>
    <x v="1"/>
    <x v="22"/>
    <x v="1"/>
  </r>
  <r>
    <x v="114"/>
    <x v="0"/>
    <x v="6"/>
    <x v="0"/>
    <x v="0"/>
    <x v="24"/>
    <x v="6"/>
    <x v="0"/>
    <x v="0"/>
    <x v="23"/>
    <x v="0"/>
  </r>
  <r>
    <x v="115"/>
    <x v="1"/>
    <x v="7"/>
    <x v="1"/>
    <x v="1"/>
    <x v="25"/>
    <x v="7"/>
    <x v="12"/>
    <x v="1"/>
    <x v="20"/>
    <x v="1"/>
  </r>
  <r>
    <x v="116"/>
    <x v="0"/>
    <x v="8"/>
    <x v="2"/>
    <x v="2"/>
    <x v="26"/>
    <x v="2"/>
    <x v="8"/>
    <x v="0"/>
    <x v="24"/>
    <x v="2"/>
  </r>
  <r>
    <x v="117"/>
    <x v="1"/>
    <x v="9"/>
    <x v="3"/>
    <x v="0"/>
    <x v="27"/>
    <x v="9"/>
    <x v="15"/>
    <x v="1"/>
    <x v="25"/>
    <x v="0"/>
  </r>
  <r>
    <x v="118"/>
    <x v="1"/>
    <x v="10"/>
    <x v="4"/>
    <x v="1"/>
    <x v="28"/>
    <x v="8"/>
    <x v="10"/>
    <x v="0"/>
    <x v="26"/>
    <x v="2"/>
  </r>
  <r>
    <x v="119"/>
    <x v="0"/>
    <x v="11"/>
    <x v="5"/>
    <x v="2"/>
    <x v="29"/>
    <x v="5"/>
    <x v="5"/>
    <x v="1"/>
    <x v="27"/>
    <x v="1"/>
  </r>
  <r>
    <x v="120"/>
    <x v="0"/>
    <x v="3"/>
    <x v="0"/>
    <x v="0"/>
    <x v="30"/>
    <x v="11"/>
    <x v="6"/>
    <x v="0"/>
    <x v="11"/>
    <x v="0"/>
  </r>
  <r>
    <x v="121"/>
    <x v="1"/>
    <x v="12"/>
    <x v="1"/>
    <x v="1"/>
    <x v="31"/>
    <x v="4"/>
    <x v="7"/>
    <x v="1"/>
    <x v="7"/>
    <x v="0"/>
  </r>
  <r>
    <x v="122"/>
    <x v="0"/>
    <x v="13"/>
    <x v="2"/>
    <x v="2"/>
    <x v="32"/>
    <x v="2"/>
    <x v="14"/>
    <x v="0"/>
    <x v="28"/>
    <x v="2"/>
  </r>
  <r>
    <x v="123"/>
    <x v="1"/>
    <x v="0"/>
    <x v="3"/>
    <x v="0"/>
    <x v="33"/>
    <x v="12"/>
    <x v="3"/>
    <x v="1"/>
    <x v="25"/>
    <x v="0"/>
  </r>
  <r>
    <x v="124"/>
    <x v="1"/>
    <x v="14"/>
    <x v="4"/>
    <x v="1"/>
    <x v="34"/>
    <x v="7"/>
    <x v="19"/>
    <x v="0"/>
    <x v="29"/>
    <x v="2"/>
  </r>
  <r>
    <x v="125"/>
    <x v="0"/>
    <x v="15"/>
    <x v="5"/>
    <x v="2"/>
    <x v="35"/>
    <x v="5"/>
    <x v="11"/>
    <x v="1"/>
    <x v="30"/>
    <x v="1"/>
  </r>
  <r>
    <x v="126"/>
    <x v="0"/>
    <x v="10"/>
    <x v="0"/>
    <x v="0"/>
    <x v="36"/>
    <x v="0"/>
    <x v="13"/>
    <x v="0"/>
    <x v="5"/>
    <x v="0"/>
  </r>
  <r>
    <x v="127"/>
    <x v="1"/>
    <x v="1"/>
    <x v="1"/>
    <x v="1"/>
    <x v="37"/>
    <x v="1"/>
    <x v="1"/>
    <x v="1"/>
    <x v="31"/>
    <x v="1"/>
  </r>
  <r>
    <x v="128"/>
    <x v="0"/>
    <x v="2"/>
    <x v="2"/>
    <x v="2"/>
    <x v="38"/>
    <x v="8"/>
    <x v="18"/>
    <x v="0"/>
    <x v="8"/>
    <x v="2"/>
  </r>
  <r>
    <x v="129"/>
    <x v="1"/>
    <x v="3"/>
    <x v="3"/>
    <x v="0"/>
    <x v="39"/>
    <x v="13"/>
    <x v="9"/>
    <x v="1"/>
    <x v="3"/>
    <x v="0"/>
  </r>
  <r>
    <x v="130"/>
    <x v="1"/>
    <x v="4"/>
    <x v="4"/>
    <x v="1"/>
    <x v="40"/>
    <x v="4"/>
    <x v="4"/>
    <x v="0"/>
    <x v="32"/>
    <x v="2"/>
  </r>
  <r>
    <x v="131"/>
    <x v="0"/>
    <x v="5"/>
    <x v="5"/>
    <x v="2"/>
    <x v="41"/>
    <x v="10"/>
    <x v="5"/>
    <x v="1"/>
    <x v="12"/>
    <x v="1"/>
  </r>
  <r>
    <x v="132"/>
    <x v="0"/>
    <x v="6"/>
    <x v="0"/>
    <x v="0"/>
    <x v="42"/>
    <x v="6"/>
    <x v="6"/>
    <x v="0"/>
    <x v="33"/>
    <x v="0"/>
  </r>
  <r>
    <x v="133"/>
    <x v="1"/>
    <x v="7"/>
    <x v="1"/>
    <x v="1"/>
    <x v="43"/>
    <x v="7"/>
    <x v="12"/>
    <x v="1"/>
    <x v="3"/>
    <x v="1"/>
  </r>
  <r>
    <x v="134"/>
    <x v="0"/>
    <x v="8"/>
    <x v="2"/>
    <x v="2"/>
    <x v="44"/>
    <x v="2"/>
    <x v="8"/>
    <x v="0"/>
    <x v="14"/>
    <x v="2"/>
  </r>
  <r>
    <x v="135"/>
    <x v="1"/>
    <x v="9"/>
    <x v="3"/>
    <x v="0"/>
    <x v="45"/>
    <x v="9"/>
    <x v="15"/>
    <x v="1"/>
    <x v="9"/>
    <x v="0"/>
  </r>
  <r>
    <x v="136"/>
    <x v="1"/>
    <x v="10"/>
    <x v="4"/>
    <x v="1"/>
    <x v="46"/>
    <x v="8"/>
    <x v="10"/>
    <x v="0"/>
    <x v="34"/>
    <x v="2"/>
  </r>
  <r>
    <x v="137"/>
    <x v="0"/>
    <x v="11"/>
    <x v="5"/>
    <x v="2"/>
    <x v="11"/>
    <x v="5"/>
    <x v="17"/>
    <x v="1"/>
    <x v="1"/>
    <x v="1"/>
  </r>
  <r>
    <x v="138"/>
    <x v="0"/>
    <x v="3"/>
    <x v="0"/>
    <x v="0"/>
    <x v="47"/>
    <x v="11"/>
    <x v="3"/>
    <x v="0"/>
    <x v="27"/>
    <x v="0"/>
  </r>
  <r>
    <x v="139"/>
    <x v="1"/>
    <x v="1"/>
    <x v="1"/>
    <x v="1"/>
    <x v="19"/>
    <x v="1"/>
    <x v="4"/>
    <x v="1"/>
    <x v="13"/>
    <x v="1"/>
  </r>
  <r>
    <x v="140"/>
    <x v="0"/>
    <x v="2"/>
    <x v="2"/>
    <x v="2"/>
    <x v="20"/>
    <x v="8"/>
    <x v="18"/>
    <x v="0"/>
    <x v="24"/>
    <x v="2"/>
  </r>
  <r>
    <x v="141"/>
    <x v="1"/>
    <x v="3"/>
    <x v="3"/>
    <x v="0"/>
    <x v="21"/>
    <x v="13"/>
    <x v="9"/>
    <x v="1"/>
    <x v="20"/>
    <x v="0"/>
  </r>
  <r>
    <x v="142"/>
    <x v="1"/>
    <x v="4"/>
    <x v="4"/>
    <x v="1"/>
    <x v="22"/>
    <x v="4"/>
    <x v="1"/>
    <x v="0"/>
    <x v="21"/>
    <x v="2"/>
  </r>
  <r>
    <x v="143"/>
    <x v="0"/>
    <x v="5"/>
    <x v="5"/>
    <x v="2"/>
    <x v="23"/>
    <x v="10"/>
    <x v="2"/>
    <x v="1"/>
    <x v="22"/>
    <x v="3"/>
  </r>
  <r>
    <x v="144"/>
    <x v="0"/>
    <x v="6"/>
    <x v="0"/>
    <x v="0"/>
    <x v="42"/>
    <x v="6"/>
    <x v="6"/>
    <x v="0"/>
    <x v="33"/>
    <x v="0"/>
  </r>
  <r>
    <x v="145"/>
    <x v="1"/>
    <x v="7"/>
    <x v="1"/>
    <x v="1"/>
    <x v="43"/>
    <x v="7"/>
    <x v="12"/>
    <x v="1"/>
    <x v="3"/>
    <x v="1"/>
  </r>
  <r>
    <x v="146"/>
    <x v="0"/>
    <x v="8"/>
    <x v="2"/>
    <x v="2"/>
    <x v="44"/>
    <x v="2"/>
    <x v="8"/>
    <x v="0"/>
    <x v="14"/>
    <x v="2"/>
  </r>
  <r>
    <x v="147"/>
    <x v="1"/>
    <x v="9"/>
    <x v="3"/>
    <x v="0"/>
    <x v="45"/>
    <x v="9"/>
    <x v="15"/>
    <x v="1"/>
    <x v="9"/>
    <x v="0"/>
  </r>
  <r>
    <x v="148"/>
    <x v="1"/>
    <x v="10"/>
    <x v="4"/>
    <x v="1"/>
    <x v="46"/>
    <x v="8"/>
    <x v="10"/>
    <x v="0"/>
    <x v="34"/>
    <x v="2"/>
  </r>
  <r>
    <x v="149"/>
    <x v="0"/>
    <x v="11"/>
    <x v="5"/>
    <x v="2"/>
    <x v="11"/>
    <x v="5"/>
    <x v="17"/>
    <x v="1"/>
    <x v="1"/>
    <x v="1"/>
  </r>
  <r>
    <x v="150"/>
    <x v="0"/>
    <x v="3"/>
    <x v="0"/>
    <x v="0"/>
    <x v="47"/>
    <x v="11"/>
    <x v="3"/>
    <x v="0"/>
    <x v="27"/>
    <x v="0"/>
  </r>
  <r>
    <x v="151"/>
    <x v="1"/>
    <x v="1"/>
    <x v="1"/>
    <x v="1"/>
    <x v="19"/>
    <x v="1"/>
    <x v="4"/>
    <x v="1"/>
    <x v="13"/>
    <x v="1"/>
  </r>
  <r>
    <x v="152"/>
    <x v="0"/>
    <x v="2"/>
    <x v="2"/>
    <x v="2"/>
    <x v="20"/>
    <x v="8"/>
    <x v="18"/>
    <x v="0"/>
    <x v="24"/>
    <x v="2"/>
  </r>
  <r>
    <x v="153"/>
    <x v="1"/>
    <x v="3"/>
    <x v="3"/>
    <x v="0"/>
    <x v="21"/>
    <x v="13"/>
    <x v="9"/>
    <x v="1"/>
    <x v="20"/>
    <x v="0"/>
  </r>
  <r>
    <x v="154"/>
    <x v="1"/>
    <x v="4"/>
    <x v="4"/>
    <x v="1"/>
    <x v="22"/>
    <x v="4"/>
    <x v="1"/>
    <x v="0"/>
    <x v="21"/>
    <x v="2"/>
  </r>
  <r>
    <x v="155"/>
    <x v="0"/>
    <x v="5"/>
    <x v="5"/>
    <x v="2"/>
    <x v="23"/>
    <x v="10"/>
    <x v="2"/>
    <x v="1"/>
    <x v="22"/>
    <x v="1"/>
  </r>
  <r>
    <x v="156"/>
    <x v="0"/>
    <x v="6"/>
    <x v="0"/>
    <x v="0"/>
    <x v="24"/>
    <x v="6"/>
    <x v="0"/>
    <x v="0"/>
    <x v="23"/>
    <x v="0"/>
  </r>
  <r>
    <x v="157"/>
    <x v="1"/>
    <x v="7"/>
    <x v="1"/>
    <x v="1"/>
    <x v="25"/>
    <x v="7"/>
    <x v="12"/>
    <x v="1"/>
    <x v="20"/>
    <x v="1"/>
  </r>
  <r>
    <x v="158"/>
    <x v="0"/>
    <x v="8"/>
    <x v="2"/>
    <x v="2"/>
    <x v="26"/>
    <x v="2"/>
    <x v="8"/>
    <x v="0"/>
    <x v="24"/>
    <x v="2"/>
  </r>
  <r>
    <x v="159"/>
    <x v="1"/>
    <x v="9"/>
    <x v="3"/>
    <x v="0"/>
    <x v="27"/>
    <x v="9"/>
    <x v="15"/>
    <x v="1"/>
    <x v="25"/>
    <x v="0"/>
  </r>
  <r>
    <x v="160"/>
    <x v="1"/>
    <x v="10"/>
    <x v="4"/>
    <x v="1"/>
    <x v="28"/>
    <x v="8"/>
    <x v="10"/>
    <x v="0"/>
    <x v="26"/>
    <x v="2"/>
  </r>
  <r>
    <x v="161"/>
    <x v="0"/>
    <x v="11"/>
    <x v="5"/>
    <x v="2"/>
    <x v="29"/>
    <x v="5"/>
    <x v="5"/>
    <x v="1"/>
    <x v="27"/>
    <x v="1"/>
  </r>
  <r>
    <x v="162"/>
    <x v="0"/>
    <x v="3"/>
    <x v="0"/>
    <x v="0"/>
    <x v="30"/>
    <x v="11"/>
    <x v="6"/>
    <x v="0"/>
    <x v="11"/>
    <x v="0"/>
  </r>
  <r>
    <x v="163"/>
    <x v="1"/>
    <x v="12"/>
    <x v="1"/>
    <x v="1"/>
    <x v="31"/>
    <x v="4"/>
    <x v="7"/>
    <x v="1"/>
    <x v="7"/>
    <x v="0"/>
  </r>
  <r>
    <x v="164"/>
    <x v="0"/>
    <x v="13"/>
    <x v="2"/>
    <x v="2"/>
    <x v="32"/>
    <x v="2"/>
    <x v="14"/>
    <x v="0"/>
    <x v="28"/>
    <x v="2"/>
  </r>
  <r>
    <x v="165"/>
    <x v="1"/>
    <x v="0"/>
    <x v="3"/>
    <x v="0"/>
    <x v="33"/>
    <x v="12"/>
    <x v="3"/>
    <x v="1"/>
    <x v="25"/>
    <x v="0"/>
  </r>
  <r>
    <x v="166"/>
    <x v="1"/>
    <x v="14"/>
    <x v="4"/>
    <x v="1"/>
    <x v="34"/>
    <x v="7"/>
    <x v="19"/>
    <x v="0"/>
    <x v="29"/>
    <x v="2"/>
  </r>
  <r>
    <x v="167"/>
    <x v="0"/>
    <x v="15"/>
    <x v="5"/>
    <x v="2"/>
    <x v="35"/>
    <x v="5"/>
    <x v="11"/>
    <x v="1"/>
    <x v="30"/>
    <x v="1"/>
  </r>
  <r>
    <x v="168"/>
    <x v="0"/>
    <x v="10"/>
    <x v="0"/>
    <x v="0"/>
    <x v="36"/>
    <x v="0"/>
    <x v="13"/>
    <x v="0"/>
    <x v="5"/>
    <x v="0"/>
  </r>
  <r>
    <x v="169"/>
    <x v="1"/>
    <x v="1"/>
    <x v="1"/>
    <x v="1"/>
    <x v="37"/>
    <x v="1"/>
    <x v="1"/>
    <x v="1"/>
    <x v="31"/>
    <x v="1"/>
  </r>
  <r>
    <x v="170"/>
    <x v="0"/>
    <x v="2"/>
    <x v="2"/>
    <x v="2"/>
    <x v="38"/>
    <x v="8"/>
    <x v="18"/>
    <x v="0"/>
    <x v="8"/>
    <x v="2"/>
  </r>
  <r>
    <x v="171"/>
    <x v="1"/>
    <x v="3"/>
    <x v="3"/>
    <x v="0"/>
    <x v="39"/>
    <x v="13"/>
    <x v="9"/>
    <x v="1"/>
    <x v="3"/>
    <x v="0"/>
  </r>
  <r>
    <x v="172"/>
    <x v="1"/>
    <x v="4"/>
    <x v="4"/>
    <x v="1"/>
    <x v="40"/>
    <x v="4"/>
    <x v="4"/>
    <x v="0"/>
    <x v="32"/>
    <x v="2"/>
  </r>
  <r>
    <x v="173"/>
    <x v="0"/>
    <x v="5"/>
    <x v="5"/>
    <x v="2"/>
    <x v="23"/>
    <x v="10"/>
    <x v="2"/>
    <x v="1"/>
    <x v="22"/>
    <x v="1"/>
  </r>
  <r>
    <x v="174"/>
    <x v="0"/>
    <x v="6"/>
    <x v="0"/>
    <x v="0"/>
    <x v="24"/>
    <x v="6"/>
    <x v="6"/>
    <x v="0"/>
    <x v="23"/>
    <x v="0"/>
  </r>
  <r>
    <x v="175"/>
    <x v="1"/>
    <x v="7"/>
    <x v="1"/>
    <x v="1"/>
    <x v="43"/>
    <x v="7"/>
    <x v="12"/>
    <x v="1"/>
    <x v="3"/>
    <x v="1"/>
  </r>
  <r>
    <x v="176"/>
    <x v="0"/>
    <x v="8"/>
    <x v="2"/>
    <x v="2"/>
    <x v="44"/>
    <x v="2"/>
    <x v="8"/>
    <x v="0"/>
    <x v="14"/>
    <x v="2"/>
  </r>
  <r>
    <x v="177"/>
    <x v="1"/>
    <x v="9"/>
    <x v="3"/>
    <x v="0"/>
    <x v="45"/>
    <x v="9"/>
    <x v="15"/>
    <x v="1"/>
    <x v="9"/>
    <x v="0"/>
  </r>
  <r>
    <x v="178"/>
    <x v="1"/>
    <x v="10"/>
    <x v="4"/>
    <x v="1"/>
    <x v="46"/>
    <x v="8"/>
    <x v="10"/>
    <x v="0"/>
    <x v="34"/>
    <x v="2"/>
  </r>
  <r>
    <x v="179"/>
    <x v="0"/>
    <x v="11"/>
    <x v="5"/>
    <x v="2"/>
    <x v="11"/>
    <x v="5"/>
    <x v="17"/>
    <x v="1"/>
    <x v="1"/>
    <x v="1"/>
  </r>
  <r>
    <x v="180"/>
    <x v="0"/>
    <x v="3"/>
    <x v="0"/>
    <x v="0"/>
    <x v="47"/>
    <x v="11"/>
    <x v="3"/>
    <x v="0"/>
    <x v="27"/>
    <x v="0"/>
  </r>
  <r>
    <x v="181"/>
    <x v="1"/>
    <x v="1"/>
    <x v="1"/>
    <x v="1"/>
    <x v="19"/>
    <x v="1"/>
    <x v="4"/>
    <x v="1"/>
    <x v="13"/>
    <x v="1"/>
  </r>
  <r>
    <x v="182"/>
    <x v="0"/>
    <x v="2"/>
    <x v="2"/>
    <x v="2"/>
    <x v="20"/>
    <x v="8"/>
    <x v="18"/>
    <x v="0"/>
    <x v="24"/>
    <x v="2"/>
  </r>
  <r>
    <x v="183"/>
    <x v="1"/>
    <x v="3"/>
    <x v="3"/>
    <x v="0"/>
    <x v="21"/>
    <x v="13"/>
    <x v="9"/>
    <x v="1"/>
    <x v="20"/>
    <x v="0"/>
  </r>
  <r>
    <x v="184"/>
    <x v="1"/>
    <x v="4"/>
    <x v="4"/>
    <x v="1"/>
    <x v="22"/>
    <x v="4"/>
    <x v="1"/>
    <x v="0"/>
    <x v="21"/>
    <x v="2"/>
  </r>
  <r>
    <x v="185"/>
    <x v="0"/>
    <x v="5"/>
    <x v="5"/>
    <x v="2"/>
    <x v="23"/>
    <x v="10"/>
    <x v="2"/>
    <x v="1"/>
    <x v="22"/>
    <x v="1"/>
  </r>
  <r>
    <x v="186"/>
    <x v="0"/>
    <x v="6"/>
    <x v="0"/>
    <x v="0"/>
    <x v="42"/>
    <x v="6"/>
    <x v="6"/>
    <x v="0"/>
    <x v="33"/>
    <x v="0"/>
  </r>
  <r>
    <x v="187"/>
    <x v="1"/>
    <x v="7"/>
    <x v="1"/>
    <x v="1"/>
    <x v="43"/>
    <x v="7"/>
    <x v="12"/>
    <x v="1"/>
    <x v="20"/>
    <x v="1"/>
  </r>
  <r>
    <x v="188"/>
    <x v="0"/>
    <x v="8"/>
    <x v="2"/>
    <x v="2"/>
    <x v="26"/>
    <x v="2"/>
    <x v="8"/>
    <x v="0"/>
    <x v="24"/>
    <x v="2"/>
  </r>
  <r>
    <x v="189"/>
    <x v="1"/>
    <x v="9"/>
    <x v="3"/>
    <x v="0"/>
    <x v="27"/>
    <x v="9"/>
    <x v="15"/>
    <x v="1"/>
    <x v="25"/>
    <x v="0"/>
  </r>
  <r>
    <x v="190"/>
    <x v="1"/>
    <x v="10"/>
    <x v="4"/>
    <x v="1"/>
    <x v="28"/>
    <x v="8"/>
    <x v="10"/>
    <x v="0"/>
    <x v="26"/>
    <x v="2"/>
  </r>
  <r>
    <x v="191"/>
    <x v="0"/>
    <x v="11"/>
    <x v="5"/>
    <x v="2"/>
    <x v="29"/>
    <x v="5"/>
    <x v="5"/>
    <x v="1"/>
    <x v="27"/>
    <x v="1"/>
  </r>
  <r>
    <x v="192"/>
    <x v="0"/>
    <x v="3"/>
    <x v="0"/>
    <x v="0"/>
    <x v="30"/>
    <x v="11"/>
    <x v="6"/>
    <x v="0"/>
    <x v="11"/>
    <x v="0"/>
  </r>
  <r>
    <x v="193"/>
    <x v="1"/>
    <x v="12"/>
    <x v="1"/>
    <x v="1"/>
    <x v="31"/>
    <x v="4"/>
    <x v="7"/>
    <x v="1"/>
    <x v="7"/>
    <x v="0"/>
  </r>
  <r>
    <x v="194"/>
    <x v="0"/>
    <x v="13"/>
    <x v="2"/>
    <x v="2"/>
    <x v="32"/>
    <x v="2"/>
    <x v="14"/>
    <x v="0"/>
    <x v="28"/>
    <x v="2"/>
  </r>
  <r>
    <x v="195"/>
    <x v="1"/>
    <x v="0"/>
    <x v="3"/>
    <x v="0"/>
    <x v="33"/>
    <x v="12"/>
    <x v="3"/>
    <x v="1"/>
    <x v="25"/>
    <x v="0"/>
  </r>
  <r>
    <x v="196"/>
    <x v="1"/>
    <x v="14"/>
    <x v="4"/>
    <x v="1"/>
    <x v="34"/>
    <x v="7"/>
    <x v="19"/>
    <x v="0"/>
    <x v="29"/>
    <x v="2"/>
  </r>
  <r>
    <x v="197"/>
    <x v="0"/>
    <x v="15"/>
    <x v="5"/>
    <x v="2"/>
    <x v="35"/>
    <x v="5"/>
    <x v="11"/>
    <x v="1"/>
    <x v="30"/>
    <x v="1"/>
  </r>
  <r>
    <x v="198"/>
    <x v="0"/>
    <x v="10"/>
    <x v="0"/>
    <x v="0"/>
    <x v="36"/>
    <x v="0"/>
    <x v="13"/>
    <x v="0"/>
    <x v="5"/>
    <x v="0"/>
  </r>
  <r>
    <x v="199"/>
    <x v="1"/>
    <x v="1"/>
    <x v="1"/>
    <x v="1"/>
    <x v="37"/>
    <x v="1"/>
    <x v="1"/>
    <x v="1"/>
    <x v="31"/>
    <x v="1"/>
  </r>
  <r>
    <x v="200"/>
    <x v="1"/>
    <x v="11"/>
    <x v="3"/>
    <x v="0"/>
    <x v="48"/>
    <x v="3"/>
    <x v="0"/>
    <x v="1"/>
    <x v="15"/>
    <x v="0"/>
  </r>
  <r>
    <x v="201"/>
    <x v="0"/>
    <x v="0"/>
    <x v="4"/>
    <x v="1"/>
    <x v="49"/>
    <x v="0"/>
    <x v="4"/>
    <x v="0"/>
    <x v="35"/>
    <x v="2"/>
  </r>
  <r>
    <x v="202"/>
    <x v="0"/>
    <x v="7"/>
    <x v="5"/>
    <x v="2"/>
    <x v="50"/>
    <x v="10"/>
    <x v="18"/>
    <x v="1"/>
    <x v="12"/>
    <x v="1"/>
  </r>
  <r>
    <x v="203"/>
    <x v="1"/>
    <x v="6"/>
    <x v="0"/>
    <x v="0"/>
    <x v="51"/>
    <x v="14"/>
    <x v="9"/>
    <x v="0"/>
    <x v="1"/>
    <x v="0"/>
  </r>
  <r>
    <x v="204"/>
    <x v="1"/>
    <x v="4"/>
    <x v="1"/>
    <x v="1"/>
    <x v="52"/>
    <x v="1"/>
    <x v="7"/>
    <x v="1"/>
    <x v="18"/>
    <x v="1"/>
  </r>
  <r>
    <x v="205"/>
    <x v="0"/>
    <x v="13"/>
    <x v="2"/>
    <x v="2"/>
    <x v="8"/>
    <x v="8"/>
    <x v="14"/>
    <x v="0"/>
    <x v="36"/>
    <x v="2"/>
  </r>
  <r>
    <x v="206"/>
    <x v="1"/>
    <x v="0"/>
    <x v="3"/>
    <x v="0"/>
    <x v="53"/>
    <x v="12"/>
    <x v="3"/>
    <x v="1"/>
    <x v="9"/>
    <x v="0"/>
  </r>
  <r>
    <x v="207"/>
    <x v="1"/>
    <x v="14"/>
    <x v="4"/>
    <x v="1"/>
    <x v="54"/>
    <x v="7"/>
    <x v="19"/>
    <x v="0"/>
    <x v="37"/>
    <x v="2"/>
  </r>
  <r>
    <x v="208"/>
    <x v="0"/>
    <x v="15"/>
    <x v="5"/>
    <x v="2"/>
    <x v="55"/>
    <x v="5"/>
    <x v="11"/>
    <x v="1"/>
    <x v="0"/>
    <x v="1"/>
  </r>
  <r>
    <x v="209"/>
    <x v="0"/>
    <x v="10"/>
    <x v="0"/>
    <x v="0"/>
    <x v="18"/>
    <x v="0"/>
    <x v="6"/>
    <x v="0"/>
    <x v="12"/>
    <x v="0"/>
  </r>
  <r>
    <x v="210"/>
    <x v="1"/>
    <x v="1"/>
    <x v="1"/>
    <x v="1"/>
    <x v="56"/>
    <x v="1"/>
    <x v="4"/>
    <x v="1"/>
    <x v="7"/>
    <x v="1"/>
  </r>
  <r>
    <x v="211"/>
    <x v="0"/>
    <x v="2"/>
    <x v="2"/>
    <x v="2"/>
    <x v="57"/>
    <x v="2"/>
    <x v="18"/>
    <x v="0"/>
    <x v="14"/>
    <x v="2"/>
  </r>
  <r>
    <x v="212"/>
    <x v="1"/>
    <x v="3"/>
    <x v="3"/>
    <x v="0"/>
    <x v="58"/>
    <x v="13"/>
    <x v="9"/>
    <x v="1"/>
    <x v="3"/>
    <x v="0"/>
  </r>
  <r>
    <x v="213"/>
    <x v="1"/>
    <x v="4"/>
    <x v="4"/>
    <x v="1"/>
    <x v="59"/>
    <x v="4"/>
    <x v="1"/>
    <x v="0"/>
    <x v="38"/>
    <x v="2"/>
  </r>
  <r>
    <x v="214"/>
    <x v="0"/>
    <x v="5"/>
    <x v="5"/>
    <x v="2"/>
    <x v="41"/>
    <x v="10"/>
    <x v="2"/>
    <x v="1"/>
    <x v="30"/>
    <x v="1"/>
  </r>
  <r>
    <x v="215"/>
    <x v="0"/>
    <x v="6"/>
    <x v="0"/>
    <x v="0"/>
    <x v="42"/>
    <x v="6"/>
    <x v="6"/>
    <x v="0"/>
    <x v="33"/>
    <x v="0"/>
  </r>
  <r>
    <x v="216"/>
    <x v="1"/>
    <x v="7"/>
    <x v="1"/>
    <x v="1"/>
    <x v="43"/>
    <x v="7"/>
    <x v="12"/>
    <x v="1"/>
    <x v="20"/>
    <x v="1"/>
  </r>
  <r>
    <x v="217"/>
    <x v="0"/>
    <x v="8"/>
    <x v="2"/>
    <x v="2"/>
    <x v="44"/>
    <x v="2"/>
    <x v="8"/>
    <x v="0"/>
    <x v="24"/>
    <x v="2"/>
  </r>
  <r>
    <x v="218"/>
    <x v="1"/>
    <x v="9"/>
    <x v="3"/>
    <x v="0"/>
    <x v="45"/>
    <x v="9"/>
    <x v="15"/>
    <x v="1"/>
    <x v="9"/>
    <x v="0"/>
  </r>
  <r>
    <x v="219"/>
    <x v="1"/>
    <x v="10"/>
    <x v="4"/>
    <x v="1"/>
    <x v="46"/>
    <x v="8"/>
    <x v="10"/>
    <x v="0"/>
    <x v="34"/>
    <x v="2"/>
  </r>
  <r>
    <x v="220"/>
    <x v="0"/>
    <x v="11"/>
    <x v="5"/>
    <x v="2"/>
    <x v="11"/>
    <x v="5"/>
    <x v="17"/>
    <x v="1"/>
    <x v="1"/>
    <x v="1"/>
  </r>
  <r>
    <x v="221"/>
    <x v="0"/>
    <x v="3"/>
    <x v="0"/>
    <x v="0"/>
    <x v="47"/>
    <x v="11"/>
    <x v="3"/>
    <x v="0"/>
    <x v="27"/>
    <x v="0"/>
  </r>
  <r>
    <x v="222"/>
    <x v="1"/>
    <x v="1"/>
    <x v="1"/>
    <x v="1"/>
    <x v="19"/>
    <x v="1"/>
    <x v="4"/>
    <x v="1"/>
    <x v="13"/>
    <x v="1"/>
  </r>
  <r>
    <x v="223"/>
    <x v="0"/>
    <x v="2"/>
    <x v="2"/>
    <x v="2"/>
    <x v="20"/>
    <x v="8"/>
    <x v="18"/>
    <x v="0"/>
    <x v="24"/>
    <x v="2"/>
  </r>
  <r>
    <x v="224"/>
    <x v="1"/>
    <x v="3"/>
    <x v="3"/>
    <x v="0"/>
    <x v="21"/>
    <x v="13"/>
    <x v="9"/>
    <x v="1"/>
    <x v="20"/>
    <x v="0"/>
  </r>
  <r>
    <x v="225"/>
    <x v="1"/>
    <x v="4"/>
    <x v="4"/>
    <x v="1"/>
    <x v="22"/>
    <x v="4"/>
    <x v="1"/>
    <x v="0"/>
    <x v="21"/>
    <x v="2"/>
  </r>
  <r>
    <x v="226"/>
    <x v="0"/>
    <x v="5"/>
    <x v="5"/>
    <x v="2"/>
    <x v="23"/>
    <x v="10"/>
    <x v="2"/>
    <x v="1"/>
    <x v="22"/>
    <x v="1"/>
  </r>
  <r>
    <x v="227"/>
    <x v="0"/>
    <x v="6"/>
    <x v="0"/>
    <x v="0"/>
    <x v="24"/>
    <x v="6"/>
    <x v="6"/>
    <x v="0"/>
    <x v="23"/>
    <x v="0"/>
  </r>
  <r>
    <x v="228"/>
    <x v="1"/>
    <x v="7"/>
    <x v="1"/>
    <x v="1"/>
    <x v="43"/>
    <x v="7"/>
    <x v="12"/>
    <x v="1"/>
    <x v="20"/>
    <x v="1"/>
  </r>
  <r>
    <x v="229"/>
    <x v="0"/>
    <x v="8"/>
    <x v="2"/>
    <x v="2"/>
    <x v="26"/>
    <x v="2"/>
    <x v="8"/>
    <x v="0"/>
    <x v="24"/>
    <x v="2"/>
  </r>
  <r>
    <x v="230"/>
    <x v="1"/>
    <x v="9"/>
    <x v="3"/>
    <x v="0"/>
    <x v="27"/>
    <x v="9"/>
    <x v="15"/>
    <x v="1"/>
    <x v="25"/>
    <x v="0"/>
  </r>
  <r>
    <x v="231"/>
    <x v="1"/>
    <x v="10"/>
    <x v="4"/>
    <x v="1"/>
    <x v="28"/>
    <x v="8"/>
    <x v="10"/>
    <x v="0"/>
    <x v="26"/>
    <x v="2"/>
  </r>
  <r>
    <x v="232"/>
    <x v="0"/>
    <x v="11"/>
    <x v="5"/>
    <x v="2"/>
    <x v="29"/>
    <x v="5"/>
    <x v="5"/>
    <x v="1"/>
    <x v="27"/>
    <x v="1"/>
  </r>
  <r>
    <x v="233"/>
    <x v="0"/>
    <x v="3"/>
    <x v="0"/>
    <x v="0"/>
    <x v="30"/>
    <x v="11"/>
    <x v="6"/>
    <x v="0"/>
    <x v="11"/>
    <x v="0"/>
  </r>
  <r>
    <x v="234"/>
    <x v="1"/>
    <x v="12"/>
    <x v="1"/>
    <x v="1"/>
    <x v="31"/>
    <x v="4"/>
    <x v="7"/>
    <x v="1"/>
    <x v="7"/>
    <x v="0"/>
  </r>
  <r>
    <x v="235"/>
    <x v="0"/>
    <x v="13"/>
    <x v="2"/>
    <x v="2"/>
    <x v="32"/>
    <x v="2"/>
    <x v="14"/>
    <x v="0"/>
    <x v="28"/>
    <x v="2"/>
  </r>
  <r>
    <x v="236"/>
    <x v="1"/>
    <x v="0"/>
    <x v="3"/>
    <x v="0"/>
    <x v="33"/>
    <x v="12"/>
    <x v="3"/>
    <x v="1"/>
    <x v="25"/>
    <x v="0"/>
  </r>
  <r>
    <x v="237"/>
    <x v="1"/>
    <x v="14"/>
    <x v="4"/>
    <x v="1"/>
    <x v="34"/>
    <x v="7"/>
    <x v="19"/>
    <x v="0"/>
    <x v="29"/>
    <x v="2"/>
  </r>
  <r>
    <x v="238"/>
    <x v="0"/>
    <x v="15"/>
    <x v="5"/>
    <x v="2"/>
    <x v="35"/>
    <x v="5"/>
    <x v="11"/>
    <x v="1"/>
    <x v="30"/>
    <x v="1"/>
  </r>
  <r>
    <x v="239"/>
    <x v="0"/>
    <x v="10"/>
    <x v="0"/>
    <x v="0"/>
    <x v="36"/>
    <x v="0"/>
    <x v="13"/>
    <x v="0"/>
    <x v="5"/>
    <x v="0"/>
  </r>
  <r>
    <x v="240"/>
    <x v="1"/>
    <x v="1"/>
    <x v="1"/>
    <x v="1"/>
    <x v="37"/>
    <x v="1"/>
    <x v="1"/>
    <x v="1"/>
    <x v="31"/>
    <x v="1"/>
  </r>
  <r>
    <x v="241"/>
    <x v="0"/>
    <x v="2"/>
    <x v="2"/>
    <x v="2"/>
    <x v="60"/>
    <x v="2"/>
    <x v="18"/>
    <x v="0"/>
    <x v="8"/>
    <x v="2"/>
  </r>
  <r>
    <x v="242"/>
    <x v="1"/>
    <x v="3"/>
    <x v="3"/>
    <x v="0"/>
    <x v="39"/>
    <x v="13"/>
    <x v="9"/>
    <x v="1"/>
    <x v="15"/>
    <x v="0"/>
  </r>
  <r>
    <x v="243"/>
    <x v="1"/>
    <x v="4"/>
    <x v="4"/>
    <x v="1"/>
    <x v="4"/>
    <x v="4"/>
    <x v="4"/>
    <x v="0"/>
    <x v="4"/>
    <x v="2"/>
  </r>
  <r>
    <x v="244"/>
    <x v="0"/>
    <x v="5"/>
    <x v="5"/>
    <x v="2"/>
    <x v="5"/>
    <x v="10"/>
    <x v="11"/>
    <x v="1"/>
    <x v="0"/>
    <x v="1"/>
  </r>
  <r>
    <x v="245"/>
    <x v="0"/>
    <x v="6"/>
    <x v="0"/>
    <x v="0"/>
    <x v="6"/>
    <x v="6"/>
    <x v="6"/>
    <x v="0"/>
    <x v="6"/>
    <x v="0"/>
  </r>
  <r>
    <x v="246"/>
    <x v="1"/>
    <x v="7"/>
    <x v="1"/>
    <x v="1"/>
    <x v="61"/>
    <x v="7"/>
    <x v="12"/>
    <x v="1"/>
    <x v="7"/>
    <x v="1"/>
  </r>
  <r>
    <x v="247"/>
    <x v="0"/>
    <x v="8"/>
    <x v="2"/>
    <x v="2"/>
    <x v="62"/>
    <x v="2"/>
    <x v="8"/>
    <x v="0"/>
    <x v="8"/>
    <x v="2"/>
  </r>
  <r>
    <x v="248"/>
    <x v="1"/>
    <x v="9"/>
    <x v="3"/>
    <x v="0"/>
    <x v="63"/>
    <x v="9"/>
    <x v="15"/>
    <x v="1"/>
    <x v="25"/>
    <x v="0"/>
  </r>
  <r>
    <x v="249"/>
    <x v="1"/>
    <x v="10"/>
    <x v="4"/>
    <x v="1"/>
    <x v="10"/>
    <x v="8"/>
    <x v="10"/>
    <x v="0"/>
    <x v="10"/>
    <x v="2"/>
  </r>
  <r>
    <x v="250"/>
    <x v="0"/>
    <x v="11"/>
    <x v="5"/>
    <x v="2"/>
    <x v="64"/>
    <x v="5"/>
    <x v="5"/>
    <x v="1"/>
    <x v="11"/>
    <x v="1"/>
  </r>
  <r>
    <x v="251"/>
    <x v="0"/>
    <x v="3"/>
    <x v="0"/>
    <x v="0"/>
    <x v="65"/>
    <x v="11"/>
    <x v="3"/>
    <x v="0"/>
    <x v="12"/>
    <x v="0"/>
  </r>
  <r>
    <x v="252"/>
    <x v="1"/>
    <x v="1"/>
    <x v="1"/>
    <x v="1"/>
    <x v="19"/>
    <x v="1"/>
    <x v="4"/>
    <x v="1"/>
    <x v="13"/>
    <x v="1"/>
  </r>
  <r>
    <x v="253"/>
    <x v="0"/>
    <x v="2"/>
    <x v="2"/>
    <x v="2"/>
    <x v="2"/>
    <x v="8"/>
    <x v="18"/>
    <x v="0"/>
    <x v="19"/>
    <x v="2"/>
  </r>
  <r>
    <x v="254"/>
    <x v="1"/>
    <x v="3"/>
    <x v="3"/>
    <x v="0"/>
    <x v="66"/>
    <x v="3"/>
    <x v="0"/>
    <x v="1"/>
    <x v="3"/>
    <x v="0"/>
  </r>
  <r>
    <x v="255"/>
    <x v="1"/>
    <x v="4"/>
    <x v="4"/>
    <x v="1"/>
    <x v="40"/>
    <x v="4"/>
    <x v="1"/>
    <x v="0"/>
    <x v="39"/>
    <x v="2"/>
  </r>
  <r>
    <x v="256"/>
    <x v="0"/>
    <x v="5"/>
    <x v="5"/>
    <x v="2"/>
    <x v="67"/>
    <x v="10"/>
    <x v="2"/>
    <x v="1"/>
    <x v="33"/>
    <x v="1"/>
  </r>
  <r>
    <x v="257"/>
    <x v="0"/>
    <x v="6"/>
    <x v="0"/>
    <x v="0"/>
    <x v="68"/>
    <x v="6"/>
    <x v="6"/>
    <x v="0"/>
    <x v="17"/>
    <x v="0"/>
  </r>
  <r>
    <x v="258"/>
    <x v="1"/>
    <x v="7"/>
    <x v="1"/>
    <x v="1"/>
    <x v="25"/>
    <x v="7"/>
    <x v="12"/>
    <x v="1"/>
    <x v="7"/>
    <x v="1"/>
  </r>
  <r>
    <x v="259"/>
    <x v="0"/>
    <x v="8"/>
    <x v="2"/>
    <x v="2"/>
    <x v="8"/>
    <x v="2"/>
    <x v="8"/>
    <x v="0"/>
    <x v="19"/>
    <x v="2"/>
  </r>
  <r>
    <x v="260"/>
    <x v="1"/>
    <x v="9"/>
    <x v="3"/>
    <x v="0"/>
    <x v="45"/>
    <x v="9"/>
    <x v="15"/>
    <x v="1"/>
    <x v="25"/>
    <x v="0"/>
  </r>
  <r>
    <x v="261"/>
    <x v="1"/>
    <x v="10"/>
    <x v="4"/>
    <x v="1"/>
    <x v="69"/>
    <x v="8"/>
    <x v="10"/>
    <x v="0"/>
    <x v="36"/>
    <x v="2"/>
  </r>
  <r>
    <x v="262"/>
    <x v="0"/>
    <x v="11"/>
    <x v="5"/>
    <x v="2"/>
    <x v="70"/>
    <x v="5"/>
    <x v="5"/>
    <x v="1"/>
    <x v="12"/>
    <x v="1"/>
  </r>
  <r>
    <x v="263"/>
    <x v="0"/>
    <x v="3"/>
    <x v="0"/>
    <x v="0"/>
    <x v="12"/>
    <x v="11"/>
    <x v="3"/>
    <x v="0"/>
    <x v="5"/>
    <x v="0"/>
  </r>
  <r>
    <x v="264"/>
    <x v="1"/>
    <x v="1"/>
    <x v="1"/>
    <x v="1"/>
    <x v="71"/>
    <x v="1"/>
    <x v="1"/>
    <x v="1"/>
    <x v="18"/>
    <x v="1"/>
  </r>
  <r>
    <x v="265"/>
    <x v="0"/>
    <x v="2"/>
    <x v="2"/>
    <x v="2"/>
    <x v="20"/>
    <x v="8"/>
    <x v="18"/>
    <x v="0"/>
    <x v="2"/>
    <x v="2"/>
  </r>
  <r>
    <x v="266"/>
    <x v="1"/>
    <x v="3"/>
    <x v="3"/>
    <x v="0"/>
    <x v="39"/>
    <x v="13"/>
    <x v="9"/>
    <x v="1"/>
    <x v="20"/>
    <x v="0"/>
  </r>
  <r>
    <x v="267"/>
    <x v="1"/>
    <x v="4"/>
    <x v="4"/>
    <x v="1"/>
    <x v="22"/>
    <x v="4"/>
    <x v="1"/>
    <x v="0"/>
    <x v="40"/>
    <x v="2"/>
  </r>
  <r>
    <x v="268"/>
    <x v="0"/>
    <x v="5"/>
    <x v="5"/>
    <x v="2"/>
    <x v="72"/>
    <x v="10"/>
    <x v="2"/>
    <x v="1"/>
    <x v="30"/>
    <x v="1"/>
  </r>
  <r>
    <x v="269"/>
    <x v="0"/>
    <x v="6"/>
    <x v="0"/>
    <x v="0"/>
    <x v="24"/>
    <x v="6"/>
    <x v="6"/>
    <x v="0"/>
    <x v="41"/>
    <x v="0"/>
  </r>
  <r>
    <x v="270"/>
    <x v="1"/>
    <x v="7"/>
    <x v="1"/>
    <x v="1"/>
    <x v="7"/>
    <x v="7"/>
    <x v="1"/>
    <x v="1"/>
    <x v="31"/>
    <x v="1"/>
  </r>
  <r>
    <x v="271"/>
    <x v="0"/>
    <x v="8"/>
    <x v="2"/>
    <x v="2"/>
    <x v="73"/>
    <x v="2"/>
    <x v="8"/>
    <x v="0"/>
    <x v="2"/>
    <x v="2"/>
  </r>
  <r>
    <x v="272"/>
    <x v="1"/>
    <x v="9"/>
    <x v="3"/>
    <x v="0"/>
    <x v="63"/>
    <x v="9"/>
    <x v="15"/>
    <x v="1"/>
    <x v="15"/>
    <x v="0"/>
  </r>
  <r>
    <x v="273"/>
    <x v="1"/>
    <x v="10"/>
    <x v="4"/>
    <x v="1"/>
    <x v="69"/>
    <x v="8"/>
    <x v="10"/>
    <x v="0"/>
    <x v="42"/>
    <x v="2"/>
  </r>
  <r>
    <x v="274"/>
    <x v="0"/>
    <x v="11"/>
    <x v="5"/>
    <x v="2"/>
    <x v="11"/>
    <x v="5"/>
    <x v="17"/>
    <x v="1"/>
    <x v="5"/>
    <x v="1"/>
  </r>
  <r>
    <x v="275"/>
    <x v="0"/>
    <x v="3"/>
    <x v="0"/>
    <x v="0"/>
    <x v="30"/>
    <x v="11"/>
    <x v="6"/>
    <x v="0"/>
    <x v="22"/>
    <x v="0"/>
  </r>
  <r>
    <x v="276"/>
    <x v="1"/>
    <x v="12"/>
    <x v="1"/>
    <x v="1"/>
    <x v="74"/>
    <x v="1"/>
    <x v="7"/>
    <x v="1"/>
    <x v="1"/>
    <x v="1"/>
  </r>
  <r>
    <x v="277"/>
    <x v="0"/>
    <x v="2"/>
    <x v="2"/>
    <x v="2"/>
    <x v="57"/>
    <x v="8"/>
    <x v="18"/>
    <x v="0"/>
    <x v="43"/>
    <x v="2"/>
  </r>
  <r>
    <x v="278"/>
    <x v="1"/>
    <x v="3"/>
    <x v="3"/>
    <x v="0"/>
    <x v="58"/>
    <x v="3"/>
    <x v="0"/>
    <x v="1"/>
    <x v="3"/>
    <x v="0"/>
  </r>
  <r>
    <x v="279"/>
    <x v="1"/>
    <x v="4"/>
    <x v="4"/>
    <x v="1"/>
    <x v="22"/>
    <x v="4"/>
    <x v="1"/>
    <x v="0"/>
    <x v="44"/>
    <x v="2"/>
  </r>
  <r>
    <x v="280"/>
    <x v="0"/>
    <x v="5"/>
    <x v="5"/>
    <x v="2"/>
    <x v="23"/>
    <x v="10"/>
    <x v="2"/>
    <x v="1"/>
    <x v="23"/>
    <x v="1"/>
  </r>
  <r>
    <x v="281"/>
    <x v="0"/>
    <x v="6"/>
    <x v="0"/>
    <x v="0"/>
    <x v="68"/>
    <x v="6"/>
    <x v="6"/>
    <x v="0"/>
    <x v="45"/>
    <x v="0"/>
  </r>
  <r>
    <x v="282"/>
    <x v="1"/>
    <x v="7"/>
    <x v="1"/>
    <x v="1"/>
    <x v="43"/>
    <x v="7"/>
    <x v="12"/>
    <x v="1"/>
    <x v="13"/>
    <x v="1"/>
  </r>
  <r>
    <x v="283"/>
    <x v="0"/>
    <x v="8"/>
    <x v="2"/>
    <x v="2"/>
    <x v="8"/>
    <x v="2"/>
    <x v="8"/>
    <x v="0"/>
    <x v="43"/>
    <x v="2"/>
  </r>
  <r>
    <x v="284"/>
    <x v="1"/>
    <x v="9"/>
    <x v="3"/>
    <x v="0"/>
    <x v="45"/>
    <x v="9"/>
    <x v="15"/>
    <x v="1"/>
    <x v="25"/>
    <x v="0"/>
  </r>
  <r>
    <x v="285"/>
    <x v="1"/>
    <x v="10"/>
    <x v="4"/>
    <x v="1"/>
    <x v="69"/>
    <x v="8"/>
    <x v="10"/>
    <x v="0"/>
    <x v="28"/>
    <x v="2"/>
  </r>
  <r>
    <x v="286"/>
    <x v="0"/>
    <x v="11"/>
    <x v="5"/>
    <x v="2"/>
    <x v="75"/>
    <x v="5"/>
    <x v="5"/>
    <x v="1"/>
    <x v="22"/>
    <x v="1"/>
  </r>
  <r>
    <x v="287"/>
    <x v="0"/>
    <x v="3"/>
    <x v="0"/>
    <x v="0"/>
    <x v="12"/>
    <x v="11"/>
    <x v="3"/>
    <x v="0"/>
    <x v="30"/>
    <x v="0"/>
  </r>
  <r>
    <x v="288"/>
    <x v="1"/>
    <x v="1"/>
    <x v="1"/>
    <x v="1"/>
    <x v="71"/>
    <x v="1"/>
    <x v="1"/>
    <x v="1"/>
    <x v="18"/>
    <x v="1"/>
  </r>
  <r>
    <x v="289"/>
    <x v="0"/>
    <x v="2"/>
    <x v="2"/>
    <x v="2"/>
    <x v="20"/>
    <x v="8"/>
    <x v="18"/>
    <x v="0"/>
    <x v="46"/>
    <x v="2"/>
  </r>
  <r>
    <x v="290"/>
    <x v="1"/>
    <x v="3"/>
    <x v="3"/>
    <x v="0"/>
    <x v="39"/>
    <x v="13"/>
    <x v="9"/>
    <x v="1"/>
    <x v="20"/>
    <x v="0"/>
  </r>
  <r>
    <x v="291"/>
    <x v="1"/>
    <x v="4"/>
    <x v="4"/>
    <x v="1"/>
    <x v="22"/>
    <x v="4"/>
    <x v="1"/>
    <x v="0"/>
    <x v="47"/>
    <x v="2"/>
  </r>
  <r>
    <x v="292"/>
    <x v="0"/>
    <x v="5"/>
    <x v="5"/>
    <x v="2"/>
    <x v="72"/>
    <x v="10"/>
    <x v="2"/>
    <x v="1"/>
    <x v="6"/>
    <x v="1"/>
  </r>
  <r>
    <x v="293"/>
    <x v="0"/>
    <x v="6"/>
    <x v="0"/>
    <x v="0"/>
    <x v="24"/>
    <x v="6"/>
    <x v="6"/>
    <x v="0"/>
    <x v="34"/>
    <x v="0"/>
  </r>
  <r>
    <x v="294"/>
    <x v="1"/>
    <x v="7"/>
    <x v="1"/>
    <x v="1"/>
    <x v="7"/>
    <x v="7"/>
    <x v="1"/>
    <x v="1"/>
    <x v="31"/>
    <x v="1"/>
  </r>
  <r>
    <x v="295"/>
    <x v="0"/>
    <x v="8"/>
    <x v="2"/>
    <x v="2"/>
    <x v="73"/>
    <x v="2"/>
    <x v="8"/>
    <x v="0"/>
    <x v="46"/>
    <x v="2"/>
  </r>
  <r>
    <x v="296"/>
    <x v="1"/>
    <x v="9"/>
    <x v="3"/>
    <x v="0"/>
    <x v="63"/>
    <x v="9"/>
    <x v="15"/>
    <x v="1"/>
    <x v="3"/>
    <x v="0"/>
  </r>
  <r>
    <x v="297"/>
    <x v="1"/>
    <x v="10"/>
    <x v="4"/>
    <x v="1"/>
    <x v="69"/>
    <x v="8"/>
    <x v="10"/>
    <x v="0"/>
    <x v="14"/>
    <x v="2"/>
  </r>
  <r>
    <x v="298"/>
    <x v="0"/>
    <x v="11"/>
    <x v="5"/>
    <x v="2"/>
    <x v="11"/>
    <x v="5"/>
    <x v="17"/>
    <x v="1"/>
    <x v="5"/>
    <x v="1"/>
  </r>
  <r>
    <x v="299"/>
    <x v="0"/>
    <x v="3"/>
    <x v="0"/>
    <x v="0"/>
    <x v="30"/>
    <x v="11"/>
    <x v="6"/>
    <x v="0"/>
    <x v="0"/>
    <x v="0"/>
  </r>
  <r>
    <x v="300"/>
    <x v="1"/>
    <x v="12"/>
    <x v="1"/>
    <x v="1"/>
    <x v="37"/>
    <x v="1"/>
    <x v="1"/>
    <x v="1"/>
    <x v="1"/>
    <x v="1"/>
  </r>
  <r>
    <x v="301"/>
    <x v="0"/>
    <x v="2"/>
    <x v="2"/>
    <x v="2"/>
    <x v="57"/>
    <x v="8"/>
    <x v="18"/>
    <x v="0"/>
    <x v="48"/>
    <x v="2"/>
  </r>
  <r>
    <x v="302"/>
    <x v="1"/>
    <x v="3"/>
    <x v="3"/>
    <x v="0"/>
    <x v="58"/>
    <x v="3"/>
    <x v="0"/>
    <x v="1"/>
    <x v="20"/>
    <x v="0"/>
  </r>
  <r>
    <x v="303"/>
    <x v="1"/>
    <x v="4"/>
    <x v="4"/>
    <x v="1"/>
    <x v="22"/>
    <x v="4"/>
    <x v="1"/>
    <x v="0"/>
    <x v="49"/>
    <x v="2"/>
  </r>
  <r>
    <x v="304"/>
    <x v="0"/>
    <x v="5"/>
    <x v="5"/>
    <x v="2"/>
    <x v="23"/>
    <x v="10"/>
    <x v="2"/>
    <x v="1"/>
    <x v="17"/>
    <x v="1"/>
  </r>
  <r>
    <x v="305"/>
    <x v="0"/>
    <x v="6"/>
    <x v="0"/>
    <x v="0"/>
    <x v="68"/>
    <x v="6"/>
    <x v="6"/>
    <x v="0"/>
    <x v="26"/>
    <x v="0"/>
  </r>
  <r>
    <x v="306"/>
    <x v="1"/>
    <x v="7"/>
    <x v="1"/>
    <x v="1"/>
    <x v="43"/>
    <x v="7"/>
    <x v="12"/>
    <x v="1"/>
    <x v="18"/>
    <x v="1"/>
  </r>
  <r>
    <x v="307"/>
    <x v="0"/>
    <x v="8"/>
    <x v="2"/>
    <x v="2"/>
    <x v="8"/>
    <x v="2"/>
    <x v="8"/>
    <x v="0"/>
    <x v="48"/>
    <x v="2"/>
  </r>
  <r>
    <x v="308"/>
    <x v="1"/>
    <x v="9"/>
    <x v="3"/>
    <x v="0"/>
    <x v="45"/>
    <x v="9"/>
    <x v="15"/>
    <x v="1"/>
    <x v="15"/>
    <x v="0"/>
  </r>
  <r>
    <x v="309"/>
    <x v="1"/>
    <x v="10"/>
    <x v="4"/>
    <x v="1"/>
    <x v="69"/>
    <x v="8"/>
    <x v="10"/>
    <x v="0"/>
    <x v="24"/>
    <x v="2"/>
  </r>
  <r>
    <x v="310"/>
    <x v="0"/>
    <x v="11"/>
    <x v="5"/>
    <x v="2"/>
    <x v="75"/>
    <x v="5"/>
    <x v="5"/>
    <x v="1"/>
    <x v="30"/>
    <x v="1"/>
  </r>
  <r>
    <x v="311"/>
    <x v="0"/>
    <x v="3"/>
    <x v="0"/>
    <x v="0"/>
    <x v="12"/>
    <x v="11"/>
    <x v="3"/>
    <x v="0"/>
    <x v="0"/>
    <x v="0"/>
  </r>
  <r>
    <x v="312"/>
    <x v="1"/>
    <x v="1"/>
    <x v="1"/>
    <x v="1"/>
    <x v="71"/>
    <x v="1"/>
    <x v="1"/>
    <x v="1"/>
    <x v="31"/>
    <x v="1"/>
  </r>
  <r>
    <x v="313"/>
    <x v="0"/>
    <x v="2"/>
    <x v="2"/>
    <x v="2"/>
    <x v="20"/>
    <x v="8"/>
    <x v="18"/>
    <x v="0"/>
    <x v="37"/>
    <x v="2"/>
  </r>
  <r>
    <x v="314"/>
    <x v="1"/>
    <x v="3"/>
    <x v="3"/>
    <x v="0"/>
    <x v="39"/>
    <x v="13"/>
    <x v="9"/>
    <x v="1"/>
    <x v="7"/>
    <x v="0"/>
  </r>
  <r>
    <x v="315"/>
    <x v="1"/>
    <x v="4"/>
    <x v="4"/>
    <x v="1"/>
    <x v="22"/>
    <x v="4"/>
    <x v="1"/>
    <x v="0"/>
    <x v="50"/>
    <x v="2"/>
  </r>
  <r>
    <x v="316"/>
    <x v="0"/>
    <x v="5"/>
    <x v="5"/>
    <x v="2"/>
    <x v="72"/>
    <x v="10"/>
    <x v="2"/>
    <x v="1"/>
    <x v="41"/>
    <x v="1"/>
  </r>
  <r>
    <x v="317"/>
    <x v="0"/>
    <x v="6"/>
    <x v="0"/>
    <x v="0"/>
    <x v="24"/>
    <x v="6"/>
    <x v="6"/>
    <x v="0"/>
    <x v="10"/>
    <x v="0"/>
  </r>
  <r>
    <x v="318"/>
    <x v="1"/>
    <x v="7"/>
    <x v="1"/>
    <x v="1"/>
    <x v="7"/>
    <x v="7"/>
    <x v="1"/>
    <x v="1"/>
    <x v="27"/>
    <x v="1"/>
  </r>
  <r>
    <x v="319"/>
    <x v="0"/>
    <x v="8"/>
    <x v="2"/>
    <x v="2"/>
    <x v="73"/>
    <x v="2"/>
    <x v="8"/>
    <x v="0"/>
    <x v="37"/>
    <x v="2"/>
  </r>
  <r>
    <x v="320"/>
    <x v="1"/>
    <x v="9"/>
    <x v="3"/>
    <x v="0"/>
    <x v="63"/>
    <x v="9"/>
    <x v="15"/>
    <x v="1"/>
    <x v="3"/>
    <x v="0"/>
  </r>
  <r>
    <x v="321"/>
    <x v="1"/>
    <x v="10"/>
    <x v="4"/>
    <x v="1"/>
    <x v="69"/>
    <x v="8"/>
    <x v="10"/>
    <x v="0"/>
    <x v="8"/>
    <x v="2"/>
  </r>
  <r>
    <x v="322"/>
    <x v="0"/>
    <x v="11"/>
    <x v="5"/>
    <x v="2"/>
    <x v="11"/>
    <x v="5"/>
    <x v="17"/>
    <x v="1"/>
    <x v="33"/>
    <x v="1"/>
  </r>
  <r>
    <x v="323"/>
    <x v="0"/>
    <x v="3"/>
    <x v="0"/>
    <x v="0"/>
    <x v="30"/>
    <x v="11"/>
    <x v="6"/>
    <x v="0"/>
    <x v="23"/>
    <x v="0"/>
  </r>
  <r>
    <x v="324"/>
    <x v="1"/>
    <x v="1"/>
    <x v="1"/>
    <x v="1"/>
    <x v="71"/>
    <x v="1"/>
    <x v="7"/>
    <x v="1"/>
    <x v="1"/>
    <x v="1"/>
  </r>
  <r>
    <x v="325"/>
    <x v="0"/>
    <x v="2"/>
    <x v="2"/>
    <x v="2"/>
    <x v="57"/>
    <x v="8"/>
    <x v="18"/>
    <x v="0"/>
    <x v="29"/>
    <x v="2"/>
  </r>
  <r>
    <x v="326"/>
    <x v="1"/>
    <x v="3"/>
    <x v="3"/>
    <x v="0"/>
    <x v="58"/>
    <x v="3"/>
    <x v="0"/>
    <x v="1"/>
    <x v="7"/>
    <x v="0"/>
  </r>
  <r>
    <x v="327"/>
    <x v="1"/>
    <x v="4"/>
    <x v="4"/>
    <x v="1"/>
    <x v="22"/>
    <x v="4"/>
    <x v="1"/>
    <x v="0"/>
    <x v="51"/>
    <x v="2"/>
  </r>
  <r>
    <x v="328"/>
    <x v="0"/>
    <x v="5"/>
    <x v="5"/>
    <x v="2"/>
    <x v="23"/>
    <x v="10"/>
    <x v="2"/>
    <x v="1"/>
    <x v="45"/>
    <x v="1"/>
  </r>
  <r>
    <x v="329"/>
    <x v="0"/>
    <x v="6"/>
    <x v="0"/>
    <x v="0"/>
    <x v="68"/>
    <x v="6"/>
    <x v="6"/>
    <x v="0"/>
    <x v="36"/>
    <x v="0"/>
  </r>
  <r>
    <x v="330"/>
    <x v="1"/>
    <x v="7"/>
    <x v="1"/>
    <x v="1"/>
    <x v="43"/>
    <x v="7"/>
    <x v="12"/>
    <x v="1"/>
    <x v="11"/>
    <x v="1"/>
  </r>
  <r>
    <x v="331"/>
    <x v="0"/>
    <x v="8"/>
    <x v="2"/>
    <x v="2"/>
    <x v="8"/>
    <x v="2"/>
    <x v="8"/>
    <x v="0"/>
    <x v="29"/>
    <x v="2"/>
  </r>
  <r>
    <x v="332"/>
    <x v="1"/>
    <x v="9"/>
    <x v="3"/>
    <x v="0"/>
    <x v="45"/>
    <x v="9"/>
    <x v="15"/>
    <x v="1"/>
    <x v="15"/>
    <x v="0"/>
  </r>
  <r>
    <x v="333"/>
    <x v="1"/>
    <x v="10"/>
    <x v="4"/>
    <x v="1"/>
    <x v="69"/>
    <x v="8"/>
    <x v="10"/>
    <x v="0"/>
    <x v="19"/>
    <x v="2"/>
  </r>
  <r>
    <x v="334"/>
    <x v="0"/>
    <x v="11"/>
    <x v="5"/>
    <x v="2"/>
    <x v="75"/>
    <x v="5"/>
    <x v="5"/>
    <x v="1"/>
    <x v="6"/>
    <x v="1"/>
  </r>
  <r>
    <x v="335"/>
    <x v="0"/>
    <x v="3"/>
    <x v="0"/>
    <x v="0"/>
    <x v="12"/>
    <x v="11"/>
    <x v="3"/>
    <x v="0"/>
    <x v="6"/>
    <x v="0"/>
  </r>
  <r>
    <x v="336"/>
    <x v="1"/>
    <x v="1"/>
    <x v="1"/>
    <x v="1"/>
    <x v="71"/>
    <x v="1"/>
    <x v="1"/>
    <x v="1"/>
    <x v="27"/>
    <x v="1"/>
  </r>
  <r>
    <x v="337"/>
    <x v="0"/>
    <x v="2"/>
    <x v="2"/>
    <x v="2"/>
    <x v="20"/>
    <x v="8"/>
    <x v="18"/>
    <x v="0"/>
    <x v="16"/>
    <x v="2"/>
  </r>
  <r>
    <x v="338"/>
    <x v="1"/>
    <x v="3"/>
    <x v="3"/>
    <x v="0"/>
    <x v="39"/>
    <x v="13"/>
    <x v="9"/>
    <x v="1"/>
    <x v="13"/>
    <x v="0"/>
  </r>
  <r>
    <x v="339"/>
    <x v="1"/>
    <x v="4"/>
    <x v="4"/>
    <x v="1"/>
    <x v="22"/>
    <x v="4"/>
    <x v="1"/>
    <x v="0"/>
    <x v="52"/>
    <x v="2"/>
  </r>
  <r>
    <x v="340"/>
    <x v="0"/>
    <x v="5"/>
    <x v="5"/>
    <x v="2"/>
    <x v="72"/>
    <x v="10"/>
    <x v="2"/>
    <x v="1"/>
    <x v="34"/>
    <x v="1"/>
  </r>
  <r>
    <x v="341"/>
    <x v="0"/>
    <x v="6"/>
    <x v="0"/>
    <x v="0"/>
    <x v="24"/>
    <x v="6"/>
    <x v="6"/>
    <x v="0"/>
    <x v="42"/>
    <x v="0"/>
  </r>
  <r>
    <x v="342"/>
    <x v="1"/>
    <x v="7"/>
    <x v="1"/>
    <x v="1"/>
    <x v="7"/>
    <x v="7"/>
    <x v="1"/>
    <x v="1"/>
    <x v="11"/>
    <x v="1"/>
  </r>
  <r>
    <x v="343"/>
    <x v="0"/>
    <x v="8"/>
    <x v="2"/>
    <x v="2"/>
    <x v="73"/>
    <x v="2"/>
    <x v="8"/>
    <x v="0"/>
    <x v="16"/>
    <x v="2"/>
  </r>
  <r>
    <x v="344"/>
    <x v="1"/>
    <x v="9"/>
    <x v="3"/>
    <x v="0"/>
    <x v="63"/>
    <x v="9"/>
    <x v="15"/>
    <x v="1"/>
    <x v="20"/>
    <x v="0"/>
  </r>
  <r>
    <x v="345"/>
    <x v="1"/>
    <x v="10"/>
    <x v="4"/>
    <x v="1"/>
    <x v="69"/>
    <x v="8"/>
    <x v="10"/>
    <x v="0"/>
    <x v="2"/>
    <x v="2"/>
  </r>
  <r>
    <x v="346"/>
    <x v="0"/>
    <x v="11"/>
    <x v="5"/>
    <x v="2"/>
    <x v="11"/>
    <x v="5"/>
    <x v="17"/>
    <x v="1"/>
    <x v="23"/>
    <x v="1"/>
  </r>
  <r>
    <x v="347"/>
    <x v="0"/>
    <x v="3"/>
    <x v="0"/>
    <x v="0"/>
    <x v="30"/>
    <x v="11"/>
    <x v="6"/>
    <x v="0"/>
    <x v="6"/>
    <x v="0"/>
  </r>
  <r>
    <x v="348"/>
    <x v="1"/>
    <x v="1"/>
    <x v="1"/>
    <x v="1"/>
    <x v="71"/>
    <x v="1"/>
    <x v="7"/>
    <x v="1"/>
    <x v="12"/>
    <x v="1"/>
  </r>
  <r>
    <x v="349"/>
    <x v="0"/>
    <x v="2"/>
    <x v="2"/>
    <x v="2"/>
    <x v="57"/>
    <x v="8"/>
    <x v="18"/>
    <x v="0"/>
    <x v="53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generXtotal" cacheId="0" autoFormatId="1" applyNumberFormats="0" applyBorderFormats="0" applyFontFormats="0" applyPatternFormats="0" applyAlignmentFormats="0" applyWidthHeightFormats="1" dataCaption="Valores" updatedVersion="5" minRefreshableVersion="3" createdVersion="5" useAutoFormatting="1" compact="0" indent="0" compactData="0" showDrill="1" multipleFieldFilters="0" chartFormat="6">
  <location ref="A3:B6" firstHeaderRow="1" firstDataRow="1" firstDataCol="1"/>
  <pivotFields count="12">
    <pivotField compact="0" outline="0" showAll="0">
      <items count="3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t="default"/>
      </items>
    </pivotField>
    <pivotField axis="axisRow" compact="0" outline="0" showAll="0">
      <items count="3">
        <item x="0"/>
        <item x="1"/>
        <item t="default"/>
      </items>
    </pivotField>
    <pivotField compact="0" outline="0" showAll="0">
      <items count="7">
        <item x="0"/>
        <item x="1"/>
        <item x="2"/>
        <item x="3"/>
        <item x="4"/>
        <item x="5"/>
        <item t="default"/>
      </items>
    </pivotField>
    <pivotField compact="0" outline="0" showAll="0">
      <items count="7">
        <item x="2"/>
        <item x="5"/>
        <item x="1"/>
        <item x="4"/>
        <item x="0"/>
        <item x="3"/>
        <item t="default"/>
      </items>
    </pivotField>
    <pivotField compact="0" outline="0" showAll="0">
      <items count="4">
        <item x="2"/>
        <item x="0"/>
        <item x="1"/>
        <item t="default"/>
      </items>
    </pivotField>
    <pivotField dataField="1" compact="0" outline="0" showAll="0">
      <items count="77">
        <item x="67"/>
        <item x="41"/>
        <item x="70"/>
        <item x="23"/>
        <item x="75"/>
        <item x="5"/>
        <item x="35"/>
        <item x="50"/>
        <item x="72"/>
        <item x="17"/>
        <item x="29"/>
        <item x="55"/>
        <item x="11"/>
        <item x="73"/>
        <item x="44"/>
        <item x="64"/>
        <item x="26"/>
        <item x="62"/>
        <item x="8"/>
        <item x="38"/>
        <item x="20"/>
        <item x="2"/>
        <item x="57"/>
        <item x="32"/>
        <item x="60"/>
        <item x="14"/>
        <item x="69"/>
        <item x="28"/>
        <item x="54"/>
        <item x="46"/>
        <item x="10"/>
        <item x="59"/>
        <item x="34"/>
        <item x="40"/>
        <item x="16"/>
        <item x="22"/>
        <item x="4"/>
        <item x="49"/>
        <item x="74"/>
        <item x="71"/>
        <item x="1"/>
        <item x="52"/>
        <item x="19"/>
        <item x="37"/>
        <item x="7"/>
        <item x="56"/>
        <item x="25"/>
        <item x="13"/>
        <item x="43"/>
        <item x="31"/>
        <item x="61"/>
        <item x="0"/>
        <item x="42"/>
        <item x="24"/>
        <item x="6"/>
        <item x="36"/>
        <item x="68"/>
        <item x="18"/>
        <item x="65"/>
        <item x="47"/>
        <item x="30"/>
        <item x="12"/>
        <item x="51"/>
        <item x="15"/>
        <item x="33"/>
        <item x="53"/>
        <item x="48"/>
        <item x="66"/>
        <item x="58"/>
        <item x="39"/>
        <item x="21"/>
        <item x="63"/>
        <item x="3"/>
        <item x="45"/>
        <item x="27"/>
        <item x="9"/>
        <item t="default"/>
      </items>
    </pivotField>
    <pivotField compact="0" outline="0" showAll="0">
      <items count="16">
        <item x="10"/>
        <item x="5"/>
        <item x="2"/>
        <item x="8"/>
        <item x="1"/>
        <item x="7"/>
        <item x="4"/>
        <item x="0"/>
        <item x="6"/>
        <item x="11"/>
        <item x="14"/>
        <item x="12"/>
        <item x="3"/>
        <item x="13"/>
        <item x="9"/>
        <item t="default"/>
      </items>
    </pivotField>
    <pivotField compact="0" outline="0" showAll="0">
      <items count="21">
        <item x="17"/>
        <item x="5"/>
        <item x="11"/>
        <item x="18"/>
        <item x="2"/>
        <item x="14"/>
        <item x="8"/>
        <item x="16"/>
        <item x="10"/>
        <item x="19"/>
        <item x="4"/>
        <item x="1"/>
        <item x="7"/>
        <item x="12"/>
        <item x="13"/>
        <item x="6"/>
        <item x="0"/>
        <item x="3"/>
        <item x="9"/>
        <item x="15"/>
        <item t="default"/>
      </items>
    </pivotField>
    <pivotField compact="0" outline="0" showAll="0">
      <items count="3">
        <item x="1"/>
        <item x="0"/>
        <item t="default"/>
      </items>
    </pivotField>
    <pivotField compact="0" outline="0" showAll="0">
      <items count="55">
        <item x="9"/>
        <item x="25"/>
        <item x="15"/>
        <item x="3"/>
        <item x="20"/>
        <item x="7"/>
        <item x="13"/>
        <item x="18"/>
        <item x="31"/>
        <item x="1"/>
        <item x="27"/>
        <item x="11"/>
        <item x="12"/>
        <item x="5"/>
        <item x="22"/>
        <item x="30"/>
        <item x="0"/>
        <item x="33"/>
        <item x="23"/>
        <item x="6"/>
        <item x="17"/>
        <item x="41"/>
        <item x="45"/>
        <item x="34"/>
        <item x="26"/>
        <item x="10"/>
        <item x="36"/>
        <item x="42"/>
        <item x="28"/>
        <item x="14"/>
        <item x="24"/>
        <item x="8"/>
        <item x="19"/>
        <item x="2"/>
        <item x="43"/>
        <item x="46"/>
        <item x="48"/>
        <item x="37"/>
        <item x="29"/>
        <item x="16"/>
        <item x="53"/>
        <item x="35"/>
        <item x="38"/>
        <item x="32"/>
        <item x="21"/>
        <item x="4"/>
        <item x="39"/>
        <item x="40"/>
        <item x="44"/>
        <item x="47"/>
        <item x="49"/>
        <item x="50"/>
        <item x="51"/>
        <item x="52"/>
        <item t="default"/>
      </items>
    </pivotField>
    <pivotField compact="0" outline="0" showAll="0">
      <items count="5">
        <item x="3"/>
        <item x="1"/>
        <item x="0"/>
        <item x="2"/>
        <item t="default"/>
      </items>
    </pivotField>
    <pivotField dragToCol="0" dragToPage="0" dragToRow="0" compact="0" outline="0" subtotalTop="0"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Suma de Total Spend" fld="5" baseField="0" baseItem="0" numFmtId="178"/>
  </dataFields>
  <pivotTableStyleInfo name="PivotStylePreset6_Accent3" showColHeaders="1" showRowStripe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KPIs" cacheId="0" autoFormatId="1" applyNumberFormats="0" applyBorderFormats="0" applyFontFormats="0" applyPatternFormats="0" applyAlignmentFormats="0" applyWidthHeightFormats="1" dataCaption="Valores" updatedVersion="5" minRefreshableVersion="3" createdVersion="5" useAutoFormatting="1" compact="0" indent="0" outline="1" compactData="0" outlineData="1" showDrill="1" multipleFieldFilters="0">
  <location ref="D3:I4" firstHeaderRow="0" firstDataRow="1" firstDataCol="0"/>
  <pivotFields count="12">
    <pivotField dataField="1" compact="0" showAll="0">
      <items count="3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t="default"/>
      </items>
    </pivotField>
    <pivotField compact="0" showAll="0">
      <items count="3">
        <item x="0"/>
        <item x="1"/>
        <item t="default"/>
      </items>
    </pivotField>
    <pivotField dataField="1"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7">
        <item x="2"/>
        <item x="5"/>
        <item x="1"/>
        <item x="4"/>
        <item x="0"/>
        <item x="3"/>
        <item t="default"/>
      </items>
    </pivotField>
    <pivotField compact="0" showAll="0">
      <items count="4">
        <item x="2"/>
        <item x="0"/>
        <item x="1"/>
        <item t="default"/>
      </items>
    </pivotField>
    <pivotField dataField="1" compact="0" showAll="0">
      <items count="77">
        <item x="67"/>
        <item x="41"/>
        <item x="70"/>
        <item x="23"/>
        <item x="75"/>
        <item x="5"/>
        <item x="35"/>
        <item x="50"/>
        <item x="72"/>
        <item x="17"/>
        <item x="29"/>
        <item x="55"/>
        <item x="11"/>
        <item x="73"/>
        <item x="44"/>
        <item x="64"/>
        <item x="26"/>
        <item x="62"/>
        <item x="8"/>
        <item x="38"/>
        <item x="20"/>
        <item x="2"/>
        <item x="57"/>
        <item x="32"/>
        <item x="60"/>
        <item x="14"/>
        <item x="69"/>
        <item x="28"/>
        <item x="54"/>
        <item x="46"/>
        <item x="10"/>
        <item x="59"/>
        <item x="34"/>
        <item x="40"/>
        <item x="16"/>
        <item x="22"/>
        <item x="4"/>
        <item x="49"/>
        <item x="74"/>
        <item x="71"/>
        <item x="1"/>
        <item x="52"/>
        <item x="19"/>
        <item x="37"/>
        <item x="7"/>
        <item x="56"/>
        <item x="25"/>
        <item x="13"/>
        <item x="43"/>
        <item x="31"/>
        <item x="61"/>
        <item x="0"/>
        <item x="42"/>
        <item x="24"/>
        <item x="6"/>
        <item x="36"/>
        <item x="68"/>
        <item x="18"/>
        <item x="65"/>
        <item x="47"/>
        <item x="30"/>
        <item x="12"/>
        <item x="51"/>
        <item x="15"/>
        <item x="33"/>
        <item x="53"/>
        <item x="48"/>
        <item x="66"/>
        <item x="58"/>
        <item x="39"/>
        <item x="21"/>
        <item x="63"/>
        <item x="3"/>
        <item x="45"/>
        <item x="27"/>
        <item x="9"/>
        <item t="default"/>
      </items>
    </pivotField>
    <pivotField dataField="1" compact="0" showAll="0">
      <items count="16">
        <item x="10"/>
        <item x="5"/>
        <item x="2"/>
        <item x="8"/>
        <item x="1"/>
        <item x="7"/>
        <item x="4"/>
        <item x="0"/>
        <item x="6"/>
        <item x="11"/>
        <item x="14"/>
        <item x="12"/>
        <item x="3"/>
        <item x="13"/>
        <item x="9"/>
        <item t="default"/>
      </items>
    </pivotField>
    <pivotField compact="0" showAll="0">
      <items count="21">
        <item x="17"/>
        <item x="5"/>
        <item x="11"/>
        <item x="18"/>
        <item x="2"/>
        <item x="14"/>
        <item x="8"/>
        <item x="16"/>
        <item x="10"/>
        <item x="19"/>
        <item x="4"/>
        <item x="1"/>
        <item x="7"/>
        <item x="12"/>
        <item x="13"/>
        <item x="6"/>
        <item x="0"/>
        <item x="3"/>
        <item x="9"/>
        <item x="15"/>
        <item t="default"/>
      </items>
    </pivotField>
    <pivotField compact="0" showAll="0">
      <items count="3">
        <item x="1"/>
        <item x="0"/>
        <item t="default"/>
      </items>
    </pivotField>
    <pivotField dataField="1" compact="0" showAll="0">
      <items count="55">
        <item x="9"/>
        <item x="25"/>
        <item x="15"/>
        <item x="3"/>
        <item x="20"/>
        <item x="7"/>
        <item x="13"/>
        <item x="18"/>
        <item x="31"/>
        <item x="1"/>
        <item x="27"/>
        <item x="11"/>
        <item x="12"/>
        <item x="5"/>
        <item x="22"/>
        <item x="30"/>
        <item x="0"/>
        <item x="33"/>
        <item x="23"/>
        <item x="6"/>
        <item x="17"/>
        <item x="41"/>
        <item x="45"/>
        <item x="34"/>
        <item x="26"/>
        <item x="10"/>
        <item x="36"/>
        <item x="42"/>
        <item x="28"/>
        <item x="14"/>
        <item x="24"/>
        <item x="8"/>
        <item x="19"/>
        <item x="2"/>
        <item x="43"/>
        <item x="46"/>
        <item x="48"/>
        <item x="37"/>
        <item x="29"/>
        <item x="16"/>
        <item x="53"/>
        <item x="35"/>
        <item x="38"/>
        <item x="32"/>
        <item x="21"/>
        <item x="4"/>
        <item x="39"/>
        <item x="40"/>
        <item x="44"/>
        <item x="47"/>
        <item x="49"/>
        <item x="50"/>
        <item x="51"/>
        <item x="52"/>
        <item t="default"/>
      </items>
    </pivotField>
    <pivotField compact="0" showAll="0">
      <items count="5">
        <item x="3"/>
        <item x="1"/>
        <item x="0"/>
        <item x="2"/>
        <item t="default"/>
      </items>
    </pivotField>
    <pivotField dragToCol="0" dragToPage="0" dragToRow="0" compact="0" showAll="0"/>
  </pivotFields>
  <rowItems count="1">
    <i/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Tickets" fld="0" subtotal="count" baseField="0" baseItem="0"/>
    <dataField name="Promedio de Age" fld="2" subtotal="average" baseField="0" baseItem="0" numFmtId="179"/>
    <dataField name="Promedio_Total_Spend" fld="5" subtotal="average" baseField="0" baseItem="0" numFmtId="180"/>
    <dataField name="Total_Spend" fld="5" baseField="0" baseItem="0" numFmtId="178"/>
    <dataField name="Promedio_Last Purchase" fld="9" subtotal="average" baseField="0" baseItem="0" numFmtId="178"/>
    <dataField name="Suma de Items Purchased" fld="6" baseField="0" baseItem="0" numFmtId="179"/>
  </dataFields>
  <pivotTableStyleInfo name="PivotStylePreset5_Accent3" showColHeaders="1" showRowStripe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Satisfaccion" cacheId="0" autoFormatId="1" applyNumberFormats="0" applyBorderFormats="0" applyFontFormats="0" applyPatternFormats="0" applyAlignmentFormats="0" applyWidthHeightFormats="1" dataCaption="Valores" updatedVersion="5" minRefreshableVersion="3" createdVersion="5" useAutoFormatting="1" compact="0" indent="0" outline="1" compactData="0" outlineData="1" showDrill="1" multipleFieldFilters="0" chartFormat="4">
  <location ref="A9:B14" firstHeaderRow="1" firstDataRow="1" firstDataCol="1"/>
  <pivotFields count="12">
    <pivotField compact="0" showAll="0">
      <items count="3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7">
        <item x="2"/>
        <item x="5"/>
        <item x="1"/>
        <item x="4"/>
        <item x="0"/>
        <item x="3"/>
        <item t="default"/>
      </items>
    </pivotField>
    <pivotField compact="0" showAll="0">
      <items count="4">
        <item x="2"/>
        <item x="0"/>
        <item x="1"/>
        <item t="default"/>
      </items>
    </pivotField>
    <pivotField compact="0" showAll="0">
      <items count="77">
        <item x="67"/>
        <item x="41"/>
        <item x="70"/>
        <item x="23"/>
        <item x="75"/>
        <item x="5"/>
        <item x="35"/>
        <item x="50"/>
        <item x="72"/>
        <item x="17"/>
        <item x="29"/>
        <item x="55"/>
        <item x="11"/>
        <item x="73"/>
        <item x="44"/>
        <item x="64"/>
        <item x="26"/>
        <item x="62"/>
        <item x="8"/>
        <item x="38"/>
        <item x="20"/>
        <item x="2"/>
        <item x="57"/>
        <item x="32"/>
        <item x="60"/>
        <item x="14"/>
        <item x="69"/>
        <item x="28"/>
        <item x="54"/>
        <item x="46"/>
        <item x="10"/>
        <item x="59"/>
        <item x="34"/>
        <item x="40"/>
        <item x="16"/>
        <item x="22"/>
        <item x="4"/>
        <item x="49"/>
        <item x="74"/>
        <item x="71"/>
        <item x="1"/>
        <item x="52"/>
        <item x="19"/>
        <item x="37"/>
        <item x="7"/>
        <item x="56"/>
        <item x="25"/>
        <item x="13"/>
        <item x="43"/>
        <item x="31"/>
        <item x="61"/>
        <item x="0"/>
        <item x="42"/>
        <item x="24"/>
        <item x="6"/>
        <item x="36"/>
        <item x="68"/>
        <item x="18"/>
        <item x="65"/>
        <item x="47"/>
        <item x="30"/>
        <item x="12"/>
        <item x="51"/>
        <item x="15"/>
        <item x="33"/>
        <item x="53"/>
        <item x="48"/>
        <item x="66"/>
        <item x="58"/>
        <item x="39"/>
        <item x="21"/>
        <item x="63"/>
        <item x="3"/>
        <item x="45"/>
        <item x="27"/>
        <item x="9"/>
        <item t="default"/>
      </items>
    </pivotField>
    <pivotField compact="0" showAll="0">
      <items count="16">
        <item x="10"/>
        <item x="5"/>
        <item x="2"/>
        <item x="8"/>
        <item x="1"/>
        <item x="7"/>
        <item x="4"/>
        <item x="0"/>
        <item x="6"/>
        <item x="11"/>
        <item x="14"/>
        <item x="12"/>
        <item x="3"/>
        <item x="13"/>
        <item x="9"/>
        <item t="default"/>
      </items>
    </pivotField>
    <pivotField compact="0" showAll="0">
      <items count="21">
        <item x="17"/>
        <item x="5"/>
        <item x="11"/>
        <item x="18"/>
        <item x="2"/>
        <item x="14"/>
        <item x="8"/>
        <item x="16"/>
        <item x="10"/>
        <item x="19"/>
        <item x="4"/>
        <item x="1"/>
        <item x="7"/>
        <item x="12"/>
        <item x="13"/>
        <item x="6"/>
        <item x="0"/>
        <item x="3"/>
        <item x="9"/>
        <item x="15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55">
        <item x="9"/>
        <item x="25"/>
        <item x="15"/>
        <item x="3"/>
        <item x="20"/>
        <item x="7"/>
        <item x="13"/>
        <item x="18"/>
        <item x="31"/>
        <item x="1"/>
        <item x="27"/>
        <item x="11"/>
        <item x="12"/>
        <item x="5"/>
        <item x="22"/>
        <item x="30"/>
        <item x="0"/>
        <item x="33"/>
        <item x="23"/>
        <item x="6"/>
        <item x="17"/>
        <item x="41"/>
        <item x="45"/>
        <item x="34"/>
        <item x="26"/>
        <item x="10"/>
        <item x="36"/>
        <item x="42"/>
        <item x="28"/>
        <item x="14"/>
        <item x="24"/>
        <item x="8"/>
        <item x="19"/>
        <item x="2"/>
        <item x="43"/>
        <item x="46"/>
        <item x="48"/>
        <item x="37"/>
        <item x="29"/>
        <item x="16"/>
        <item x="53"/>
        <item x="35"/>
        <item x="38"/>
        <item x="32"/>
        <item x="21"/>
        <item x="4"/>
        <item x="39"/>
        <item x="40"/>
        <item x="44"/>
        <item x="47"/>
        <item x="49"/>
        <item x="50"/>
        <item x="51"/>
        <item x="52"/>
        <item t="default"/>
      </items>
    </pivotField>
    <pivotField axis="axisRow" dataField="1" compact="0" showAll="0">
      <items count="5">
        <item x="3"/>
        <item x="1"/>
        <item x="0"/>
        <item x="2"/>
        <item t="default"/>
      </items>
    </pivotField>
    <pivotField dragToCol="0" dragToPage="0" dragToRow="0" compact="0" showAll="0"/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Recuento de Satisfaction Level" fld="10" subtotal="count" baseField="0" baseItem="0"/>
  </dataFields>
  <pivotTableStyleInfo name="PivotStylePreset6_Accent3" showColHeaders="1" showRowStripe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Tabla _x000a_dinámica4" cacheId="0" autoFormatId="1" applyNumberFormats="0" applyBorderFormats="0" applyFontFormats="0" applyPatternFormats="0" applyAlignmentFormats="0" applyWidthHeightFormats="1" dataCaption="Valores" updatedVersion="5" minRefreshableVersion="3" createdVersion="5" useAutoFormatting="1" compact="0" indent="0" outline="1" compactData="0" outlineData="1" showDrill="1" multipleFieldFilters="0" chartFormat="4">
  <location ref="A16:B21" firstHeaderRow="1" firstDataRow="1" firstDataCol="1"/>
  <pivotFields count="12">
    <pivotField compact="0" showAll="0">
      <items count="3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t="default"/>
      </items>
    </pivotField>
    <pivotField compact="0" showAll="0">
      <items count="3">
        <item x="0"/>
        <item x="1"/>
        <item t="default"/>
      </items>
    </pivotField>
    <pivotField axis="axisRow"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7">
        <item x="2"/>
        <item x="5"/>
        <item x="1"/>
        <item x="4"/>
        <item x="0"/>
        <item x="3"/>
        <item t="default"/>
      </items>
    </pivotField>
    <pivotField compact="0" showAll="0">
      <items count="4">
        <item x="2"/>
        <item x="0"/>
        <item x="1"/>
        <item t="default"/>
      </items>
    </pivotField>
    <pivotField dataField="1" compact="0" showAll="0">
      <items count="77">
        <item x="67"/>
        <item x="41"/>
        <item x="70"/>
        <item x="23"/>
        <item x="75"/>
        <item x="5"/>
        <item x="35"/>
        <item x="50"/>
        <item x="72"/>
        <item x="17"/>
        <item x="29"/>
        <item x="55"/>
        <item x="11"/>
        <item x="73"/>
        <item x="44"/>
        <item x="64"/>
        <item x="26"/>
        <item x="62"/>
        <item x="8"/>
        <item x="38"/>
        <item x="20"/>
        <item x="2"/>
        <item x="57"/>
        <item x="32"/>
        <item x="60"/>
        <item x="14"/>
        <item x="69"/>
        <item x="28"/>
        <item x="54"/>
        <item x="46"/>
        <item x="10"/>
        <item x="59"/>
        <item x="34"/>
        <item x="40"/>
        <item x="16"/>
        <item x="22"/>
        <item x="4"/>
        <item x="49"/>
        <item x="74"/>
        <item x="71"/>
        <item x="1"/>
        <item x="52"/>
        <item x="19"/>
        <item x="37"/>
        <item x="7"/>
        <item x="56"/>
        <item x="25"/>
        <item x="13"/>
        <item x="43"/>
        <item x="31"/>
        <item x="61"/>
        <item x="0"/>
        <item x="42"/>
        <item x="24"/>
        <item x="6"/>
        <item x="36"/>
        <item x="68"/>
        <item x="18"/>
        <item x="65"/>
        <item x="47"/>
        <item x="30"/>
        <item x="12"/>
        <item x="51"/>
        <item x="15"/>
        <item x="33"/>
        <item x="53"/>
        <item x="48"/>
        <item x="66"/>
        <item x="58"/>
        <item x="39"/>
        <item x="21"/>
        <item x="63"/>
        <item x="3"/>
        <item x="45"/>
        <item x="27"/>
        <item x="9"/>
        <item t="default"/>
      </items>
    </pivotField>
    <pivotField compact="0" showAll="0">
      <items count="16">
        <item x="10"/>
        <item x="5"/>
        <item x="2"/>
        <item x="8"/>
        <item x="1"/>
        <item x="7"/>
        <item x="4"/>
        <item x="0"/>
        <item x="6"/>
        <item x="11"/>
        <item x="14"/>
        <item x="12"/>
        <item x="3"/>
        <item x="13"/>
        <item x="9"/>
        <item t="default"/>
      </items>
    </pivotField>
    <pivotField compact="0" showAll="0">
      <items count="21">
        <item x="17"/>
        <item x="5"/>
        <item x="11"/>
        <item x="18"/>
        <item x="2"/>
        <item x="14"/>
        <item x="8"/>
        <item x="16"/>
        <item x="10"/>
        <item x="19"/>
        <item x="4"/>
        <item x="1"/>
        <item x="7"/>
        <item x="12"/>
        <item x="13"/>
        <item x="6"/>
        <item x="0"/>
        <item x="3"/>
        <item x="9"/>
        <item x="15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55">
        <item x="9"/>
        <item x="25"/>
        <item x="15"/>
        <item x="3"/>
        <item x="20"/>
        <item x="7"/>
        <item x="13"/>
        <item x="18"/>
        <item x="31"/>
        <item x="1"/>
        <item x="27"/>
        <item x="11"/>
        <item x="12"/>
        <item x="5"/>
        <item x="22"/>
        <item x="30"/>
        <item x="0"/>
        <item x="33"/>
        <item x="23"/>
        <item x="6"/>
        <item x="17"/>
        <item x="41"/>
        <item x="45"/>
        <item x="34"/>
        <item x="26"/>
        <item x="10"/>
        <item x="36"/>
        <item x="42"/>
        <item x="28"/>
        <item x="14"/>
        <item x="24"/>
        <item x="8"/>
        <item x="19"/>
        <item x="2"/>
        <item x="43"/>
        <item x="46"/>
        <item x="48"/>
        <item x="37"/>
        <item x="29"/>
        <item x="16"/>
        <item x="53"/>
        <item x="35"/>
        <item x="38"/>
        <item x="32"/>
        <item x="21"/>
        <item x="4"/>
        <item x="39"/>
        <item x="40"/>
        <item x="44"/>
        <item x="47"/>
        <item x="49"/>
        <item x="50"/>
        <item x="51"/>
        <item x="52"/>
        <item t="default"/>
      </items>
    </pivotField>
    <pivotField compact="0" showAll="0">
      <items count="5">
        <item x="3"/>
        <item x="1"/>
        <item x="0"/>
        <item x="2"/>
        <item t="default"/>
      </items>
    </pivotField>
    <pivotField dragToCol="0" dragToPage="0" dragToRow="0" compact="0" showAll="0"/>
  </pivotFields>
  <rowFields count="1">
    <field x="2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a de Total Spend" fld="5" baseField="0" baseItem="0" numFmtId="178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Ventas_por_ciudad" cacheId="0" autoFormatId="1" applyNumberFormats="0" applyBorderFormats="0" applyFontFormats="0" applyPatternFormats="0" applyAlignmentFormats="0" applyWidthHeightFormats="1" dataCaption="Valores" updatedVersion="5" minRefreshableVersion="3" createdVersion="5" useAutoFormatting="1" compact="0" indent="0" outline="1" compactData="0" outlineData="1" showDrill="1" multipleFieldFilters="0" chartFormat="4">
  <location ref="D9:G16" firstHeaderRow="0" firstDataRow="1" firstDataCol="1"/>
  <pivotFields count="12">
    <pivotField compact="0" showAll="0">
      <items count="3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7">
        <item x="0"/>
        <item x="5"/>
        <item x="1"/>
        <item x="2"/>
        <item x="3"/>
        <item x="4"/>
        <item t="default"/>
      </items>
    </pivotField>
    <pivotField axis="axisRow" compact="0" showAll="0">
      <items count="7">
        <item x="2"/>
        <item x="5"/>
        <item x="1"/>
        <item x="4"/>
        <item x="0"/>
        <item x="3"/>
        <item t="default"/>
      </items>
    </pivotField>
    <pivotField compact="0" showAll="0">
      <items count="4">
        <item x="2"/>
        <item x="0"/>
        <item x="1"/>
        <item t="default"/>
      </items>
    </pivotField>
    <pivotField dataField="1" compact="0" showAll="0">
      <items count="77">
        <item x="67"/>
        <item x="41"/>
        <item x="70"/>
        <item x="23"/>
        <item x="75"/>
        <item x="5"/>
        <item x="35"/>
        <item x="50"/>
        <item x="72"/>
        <item x="17"/>
        <item x="29"/>
        <item x="55"/>
        <item x="11"/>
        <item x="73"/>
        <item x="44"/>
        <item x="64"/>
        <item x="26"/>
        <item x="62"/>
        <item x="8"/>
        <item x="38"/>
        <item x="20"/>
        <item x="2"/>
        <item x="57"/>
        <item x="32"/>
        <item x="60"/>
        <item x="14"/>
        <item x="69"/>
        <item x="28"/>
        <item x="54"/>
        <item x="46"/>
        <item x="10"/>
        <item x="59"/>
        <item x="34"/>
        <item x="40"/>
        <item x="16"/>
        <item x="22"/>
        <item x="4"/>
        <item x="49"/>
        <item x="74"/>
        <item x="71"/>
        <item x="1"/>
        <item x="52"/>
        <item x="19"/>
        <item x="37"/>
        <item x="7"/>
        <item x="56"/>
        <item x="25"/>
        <item x="13"/>
        <item x="43"/>
        <item x="31"/>
        <item x="61"/>
        <item x="0"/>
        <item x="42"/>
        <item x="24"/>
        <item x="6"/>
        <item x="36"/>
        <item x="68"/>
        <item x="18"/>
        <item x="65"/>
        <item x="47"/>
        <item x="30"/>
        <item x="12"/>
        <item x="51"/>
        <item x="15"/>
        <item x="33"/>
        <item x="53"/>
        <item x="48"/>
        <item x="66"/>
        <item x="58"/>
        <item x="39"/>
        <item x="21"/>
        <item x="63"/>
        <item x="3"/>
        <item x="45"/>
        <item x="27"/>
        <item x="9"/>
        <item t="default"/>
      </items>
    </pivotField>
    <pivotField compact="0" showAll="0">
      <items count="16">
        <item x="10"/>
        <item x="5"/>
        <item x="2"/>
        <item x="8"/>
        <item x="1"/>
        <item x="7"/>
        <item x="4"/>
        <item x="0"/>
        <item x="6"/>
        <item x="11"/>
        <item x="14"/>
        <item x="12"/>
        <item x="3"/>
        <item x="13"/>
        <item x="9"/>
        <item t="default"/>
      </items>
    </pivotField>
    <pivotField compact="0" showAll="0">
      <items count="21">
        <item x="17"/>
        <item x="5"/>
        <item x="11"/>
        <item x="18"/>
        <item x="2"/>
        <item x="14"/>
        <item x="8"/>
        <item x="16"/>
        <item x="10"/>
        <item x="19"/>
        <item x="4"/>
        <item x="1"/>
        <item x="7"/>
        <item x="12"/>
        <item x="13"/>
        <item x="6"/>
        <item x="0"/>
        <item x="3"/>
        <item x="9"/>
        <item x="15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55">
        <item x="9"/>
        <item x="25"/>
        <item x="15"/>
        <item x="3"/>
        <item x="20"/>
        <item x="7"/>
        <item x="13"/>
        <item x="18"/>
        <item x="31"/>
        <item x="1"/>
        <item x="27"/>
        <item x="11"/>
        <item x="12"/>
        <item x="5"/>
        <item x="22"/>
        <item x="30"/>
        <item x="0"/>
        <item x="33"/>
        <item x="23"/>
        <item x="6"/>
        <item x="17"/>
        <item x="41"/>
        <item x="45"/>
        <item x="34"/>
        <item x="26"/>
        <item x="10"/>
        <item x="36"/>
        <item x="42"/>
        <item x="28"/>
        <item x="14"/>
        <item x="24"/>
        <item x="8"/>
        <item x="19"/>
        <item x="2"/>
        <item x="43"/>
        <item x="46"/>
        <item x="48"/>
        <item x="37"/>
        <item x="29"/>
        <item x="16"/>
        <item x="53"/>
        <item x="35"/>
        <item x="38"/>
        <item x="32"/>
        <item x="21"/>
        <item x="4"/>
        <item x="39"/>
        <item x="40"/>
        <item x="44"/>
        <item x="47"/>
        <item x="49"/>
        <item x="50"/>
        <item x="51"/>
        <item x="52"/>
        <item t="default"/>
      </items>
    </pivotField>
    <pivotField compact="0" showAll="0">
      <items count="5">
        <item x="3"/>
        <item x="1"/>
        <item x="0"/>
        <item x="2"/>
        <item t="default"/>
      </items>
    </pivotField>
    <pivotField dataField="1" dragToCol="0" dragToPage="0" dragToRow="0" compact="0"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a de Total Spend" fld="5" baseField="0" baseItem="0" numFmtId="178"/>
    <dataField name="Promedio de Total Spend" fld="5" subtotal="average" baseField="0" baseItem="0" numFmtId="178"/>
    <dataField name="Suma de benchmark" fld="11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Tabla _x000a_dinámica6" cacheId="0" autoFormatId="1" applyNumberFormats="0" applyBorderFormats="0" applyFontFormats="0" applyPatternFormats="0" applyAlignmentFormats="0" applyWidthHeightFormats="1" dataCaption="Valores" updatedVersion="5" minRefreshableVersion="3" createdVersion="5" useAutoFormatting="1" compact="0" indent="0" outline="1" compactData="0" outlineData="1" showDrill="1" multipleFieldFilters="0" chartFormat="8">
  <location ref="D21:E25" firstHeaderRow="1" firstDataRow="1" firstDataCol="1"/>
  <pivotFields count="12">
    <pivotField compact="0" showAll="0">
      <items count="3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7">
        <item x="0"/>
        <item x="5"/>
        <item x="1"/>
        <item x="2"/>
        <item x="3"/>
        <item x="4"/>
        <item t="default"/>
      </items>
    </pivotField>
    <pivotField compact="0" showAll="0">
      <items count="7">
        <item x="2"/>
        <item x="5"/>
        <item x="1"/>
        <item x="4"/>
        <item x="0"/>
        <item x="3"/>
        <item t="default"/>
      </items>
    </pivotField>
    <pivotField axis="axisRow" compact="0" showAll="0">
      <items count="4">
        <item x="2"/>
        <item x="0"/>
        <item x="1"/>
        <item t="default"/>
      </items>
    </pivotField>
    <pivotField dataField="1" compact="0" showAll="0">
      <items count="77">
        <item x="67"/>
        <item x="41"/>
        <item x="70"/>
        <item x="23"/>
        <item x="75"/>
        <item x="5"/>
        <item x="35"/>
        <item x="50"/>
        <item x="72"/>
        <item x="17"/>
        <item x="29"/>
        <item x="55"/>
        <item x="11"/>
        <item x="73"/>
        <item x="44"/>
        <item x="64"/>
        <item x="26"/>
        <item x="62"/>
        <item x="8"/>
        <item x="38"/>
        <item x="20"/>
        <item x="2"/>
        <item x="57"/>
        <item x="32"/>
        <item x="60"/>
        <item x="14"/>
        <item x="69"/>
        <item x="28"/>
        <item x="54"/>
        <item x="46"/>
        <item x="10"/>
        <item x="59"/>
        <item x="34"/>
        <item x="40"/>
        <item x="16"/>
        <item x="22"/>
        <item x="4"/>
        <item x="49"/>
        <item x="74"/>
        <item x="71"/>
        <item x="1"/>
        <item x="52"/>
        <item x="19"/>
        <item x="37"/>
        <item x="7"/>
        <item x="56"/>
        <item x="25"/>
        <item x="13"/>
        <item x="43"/>
        <item x="31"/>
        <item x="61"/>
        <item x="0"/>
        <item x="42"/>
        <item x="24"/>
        <item x="6"/>
        <item x="36"/>
        <item x="68"/>
        <item x="18"/>
        <item x="65"/>
        <item x="47"/>
        <item x="30"/>
        <item x="12"/>
        <item x="51"/>
        <item x="15"/>
        <item x="33"/>
        <item x="53"/>
        <item x="48"/>
        <item x="66"/>
        <item x="58"/>
        <item x="39"/>
        <item x="21"/>
        <item x="63"/>
        <item x="3"/>
        <item x="45"/>
        <item x="27"/>
        <item x="9"/>
        <item t="default"/>
      </items>
    </pivotField>
    <pivotField compact="0" showAll="0">
      <items count="16">
        <item x="10"/>
        <item x="5"/>
        <item x="2"/>
        <item x="8"/>
        <item x="1"/>
        <item x="7"/>
        <item x="4"/>
        <item x="0"/>
        <item x="6"/>
        <item x="11"/>
        <item x="14"/>
        <item x="12"/>
        <item x="3"/>
        <item x="13"/>
        <item x="9"/>
        <item t="default"/>
      </items>
    </pivotField>
    <pivotField compact="0" showAll="0">
      <items count="21">
        <item x="17"/>
        <item x="5"/>
        <item x="11"/>
        <item x="18"/>
        <item x="2"/>
        <item x="14"/>
        <item x="8"/>
        <item x="16"/>
        <item x="10"/>
        <item x="19"/>
        <item x="4"/>
        <item x="1"/>
        <item x="7"/>
        <item x="12"/>
        <item x="13"/>
        <item x="6"/>
        <item x="0"/>
        <item x="3"/>
        <item x="9"/>
        <item x="15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55">
        <item x="9"/>
        <item x="25"/>
        <item x="15"/>
        <item x="3"/>
        <item x="20"/>
        <item x="7"/>
        <item x="13"/>
        <item x="18"/>
        <item x="31"/>
        <item x="1"/>
        <item x="27"/>
        <item x="11"/>
        <item x="12"/>
        <item x="5"/>
        <item x="22"/>
        <item x="30"/>
        <item x="0"/>
        <item x="33"/>
        <item x="23"/>
        <item x="6"/>
        <item x="17"/>
        <item x="41"/>
        <item x="45"/>
        <item x="34"/>
        <item x="26"/>
        <item x="10"/>
        <item x="36"/>
        <item x="42"/>
        <item x="28"/>
        <item x="14"/>
        <item x="24"/>
        <item x="8"/>
        <item x="19"/>
        <item x="2"/>
        <item x="43"/>
        <item x="46"/>
        <item x="48"/>
        <item x="37"/>
        <item x="29"/>
        <item x="16"/>
        <item x="53"/>
        <item x="35"/>
        <item x="38"/>
        <item x="32"/>
        <item x="21"/>
        <item x="4"/>
        <item x="39"/>
        <item x="40"/>
        <item x="44"/>
        <item x="47"/>
        <item x="49"/>
        <item x="50"/>
        <item x="51"/>
        <item x="52"/>
        <item t="default"/>
      </items>
    </pivotField>
    <pivotField compact="0" showAll="0">
      <items count="5">
        <item x="3"/>
        <item x="1"/>
        <item x="0"/>
        <item x="2"/>
        <item t="default"/>
      </items>
    </pivotField>
    <pivotField dragToCol="0" dragToPage="0" dragToRow="0" compact="0"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a de Total Spend" fld="5" showDataAs="percentOfTotal" baseField="0" baseItem="0" numFmtId="1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Tabla _x000a_dinámica8" cacheId="0" autoFormatId="1" applyNumberFormats="0" applyBorderFormats="0" applyFontFormats="0" applyPatternFormats="0" applyAlignmentFormats="0" applyWidthHeightFormats="1" dataCaption="Valores" updatedVersion="5" minRefreshableVersion="3" createdVersion="5" useAutoFormatting="1" compact="0" indent="0" compactData="0" showDrill="1" multipleFieldFilters="0" chartFormat="4">
  <location ref="D27:F37" firstHeaderRow="1" firstDataRow="1" firstDataCol="2"/>
  <pivotFields count="12">
    <pivotField dataField="1" compact="0" outline="0" showAll="0">
      <items count="3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t="default"/>
      </items>
    </pivotField>
    <pivotField compact="0" outline="0" showAll="0">
      <items count="3">
        <item x="0"/>
        <item x="1"/>
        <item t="default"/>
      </items>
    </pivotField>
    <pivotField compact="0" outline="0" showAll="0">
      <items count="7">
        <item x="0"/>
        <item x="5"/>
        <item x="1"/>
        <item x="2"/>
        <item x="3"/>
        <item x="4"/>
        <item t="default"/>
      </items>
    </pivotField>
    <pivotField axis="axisRow" compact="0" outline="0" showAll="0">
      <items count="7">
        <item x="2"/>
        <item x="5"/>
        <item x="1"/>
        <item x="4"/>
        <item x="0"/>
        <item x="3"/>
        <item t="default"/>
      </items>
    </pivotField>
    <pivotField axis="axisRow" compact="0" outline="0" showAll="0">
      <items count="4">
        <item x="2"/>
        <item x="0"/>
        <item x="1"/>
        <item t="default"/>
      </items>
    </pivotField>
    <pivotField compact="0" outline="0" showAll="0">
      <items count="77">
        <item x="67"/>
        <item x="41"/>
        <item x="70"/>
        <item x="23"/>
        <item x="75"/>
        <item x="5"/>
        <item x="35"/>
        <item x="50"/>
        <item x="72"/>
        <item x="17"/>
        <item x="29"/>
        <item x="55"/>
        <item x="11"/>
        <item x="73"/>
        <item x="44"/>
        <item x="64"/>
        <item x="26"/>
        <item x="62"/>
        <item x="8"/>
        <item x="38"/>
        <item x="20"/>
        <item x="2"/>
        <item x="57"/>
        <item x="32"/>
        <item x="60"/>
        <item x="14"/>
        <item x="69"/>
        <item x="28"/>
        <item x="54"/>
        <item x="46"/>
        <item x="10"/>
        <item x="59"/>
        <item x="34"/>
        <item x="40"/>
        <item x="16"/>
        <item x="22"/>
        <item x="4"/>
        <item x="49"/>
        <item x="74"/>
        <item x="71"/>
        <item x="1"/>
        <item x="52"/>
        <item x="19"/>
        <item x="37"/>
        <item x="7"/>
        <item x="56"/>
        <item x="25"/>
        <item x="13"/>
        <item x="43"/>
        <item x="31"/>
        <item x="61"/>
        <item x="0"/>
        <item x="42"/>
        <item x="24"/>
        <item x="6"/>
        <item x="36"/>
        <item x="68"/>
        <item x="18"/>
        <item x="65"/>
        <item x="47"/>
        <item x="30"/>
        <item x="12"/>
        <item x="51"/>
        <item x="15"/>
        <item x="33"/>
        <item x="53"/>
        <item x="48"/>
        <item x="66"/>
        <item x="58"/>
        <item x="39"/>
        <item x="21"/>
        <item x="63"/>
        <item x="3"/>
        <item x="45"/>
        <item x="27"/>
        <item x="9"/>
        <item t="default"/>
      </items>
    </pivotField>
    <pivotField compact="0" outline="0" showAll="0">
      <items count="16">
        <item x="10"/>
        <item x="5"/>
        <item x="2"/>
        <item x="8"/>
        <item x="1"/>
        <item x="7"/>
        <item x="4"/>
        <item x="0"/>
        <item x="6"/>
        <item x="11"/>
        <item x="14"/>
        <item x="12"/>
        <item x="3"/>
        <item x="13"/>
        <item x="9"/>
        <item t="default"/>
      </items>
    </pivotField>
    <pivotField compact="0" outline="0" showAll="0">
      <items count="21">
        <item x="17"/>
        <item x="5"/>
        <item x="11"/>
        <item x="18"/>
        <item x="2"/>
        <item x="14"/>
        <item x="8"/>
        <item x="16"/>
        <item x="10"/>
        <item x="19"/>
        <item x="4"/>
        <item x="1"/>
        <item x="7"/>
        <item x="12"/>
        <item x="13"/>
        <item x="6"/>
        <item x="0"/>
        <item x="3"/>
        <item x="9"/>
        <item x="15"/>
        <item t="default"/>
      </items>
    </pivotField>
    <pivotField compact="0" outline="0" showAll="0">
      <items count="3">
        <item x="1"/>
        <item x="0"/>
        <item t="default"/>
      </items>
    </pivotField>
    <pivotField compact="0" outline="0" showAll="0">
      <items count="55">
        <item x="9"/>
        <item x="25"/>
        <item x="15"/>
        <item x="3"/>
        <item x="20"/>
        <item x="7"/>
        <item x="13"/>
        <item x="18"/>
        <item x="31"/>
        <item x="1"/>
        <item x="27"/>
        <item x="11"/>
        <item x="12"/>
        <item x="5"/>
        <item x="22"/>
        <item x="30"/>
        <item x="0"/>
        <item x="33"/>
        <item x="23"/>
        <item x="6"/>
        <item x="17"/>
        <item x="41"/>
        <item x="45"/>
        <item x="34"/>
        <item x="26"/>
        <item x="10"/>
        <item x="36"/>
        <item x="42"/>
        <item x="28"/>
        <item x="14"/>
        <item x="24"/>
        <item x="8"/>
        <item x="19"/>
        <item x="2"/>
        <item x="43"/>
        <item x="46"/>
        <item x="48"/>
        <item x="37"/>
        <item x="29"/>
        <item x="16"/>
        <item x="53"/>
        <item x="35"/>
        <item x="38"/>
        <item x="32"/>
        <item x="21"/>
        <item x="4"/>
        <item x="39"/>
        <item x="40"/>
        <item x="44"/>
        <item x="47"/>
        <item x="49"/>
        <item x="50"/>
        <item x="51"/>
        <item x="52"/>
        <item t="default"/>
      </items>
    </pivotField>
    <pivotField compact="0" outline="0" showAll="0">
      <items count="5">
        <item x="3"/>
        <item x="1"/>
        <item x="0"/>
        <item x="2"/>
        <item t="default"/>
      </items>
    </pivotField>
    <pivotField dragToCol="0" dragToPage="0" dragToRow="0" compact="0" outline="0" showAll="0"/>
  </pivotFields>
  <rowFields count="2">
    <field x="4"/>
    <field x="3"/>
  </rowFields>
  <rowItems count="10">
    <i>
      <x/>
      <x/>
    </i>
    <i r="1">
      <x v="1"/>
    </i>
    <i t="default">
      <x/>
    </i>
    <i>
      <x v="1"/>
      <x v="4"/>
    </i>
    <i r="1">
      <x v="5"/>
    </i>
    <i t="default">
      <x v="1"/>
    </i>
    <i>
      <x v="2"/>
      <x v="2"/>
    </i>
    <i r="1">
      <x v="3"/>
    </i>
    <i t="default">
      <x v="2"/>
    </i>
    <i t="grand">
      <x/>
    </i>
  </rowItems>
  <colItems count="1">
    <i/>
  </colItems>
  <dataFields count="1">
    <dataField name="Suma de Customer ID" fld="0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o_City" sourceName="City">
  <pivotTables>
    <pivotTable tabId="3" name="generXtotal"/>
    <pivotTable tabId="3" name="KPIs"/>
    <pivotTable tabId="3" name="Satisfaccion"/>
    <pivotTable tabId="3" name="Tabla _x000a_dinámica4"/>
    <pivotTable tabId="3" name="Ventas_por_ciudad"/>
    <pivotTable tabId="3" name="Tabla _x000a_dinámica6"/>
  </pivotTables>
  <data>
    <tabular pivotCacheId="1">
      <items count="6">
        <i x="2" s="1"/>
        <i x="5" s="1"/>
        <i x="1" s="1"/>
        <i x="4" s="1"/>
        <i x="0" s="1"/>
        <i x="3" s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o_Gender" sourceName="Gender">
  <pivotTables>
    <pivotTable tabId="3" name="KPIs"/>
    <pivotTable tabId="3" name="generXtotal"/>
    <pivotTable tabId="3" name="Satisfaccion"/>
    <pivotTable tabId="3" name="Tabla _x000a_dinámica4"/>
    <pivotTable tabId="3" name="Ventas_por_ciudad"/>
    <pivotTable tabId="3" name="Tabla _x000a_dinámica6"/>
  </pivotTables>
  <data>
    <tabular pivotCacheId="1">
      <items count="2">
        <i x="0" s="1"/>
        <i x="1" s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o_DiscountApplied" sourceName="DiscountApplied">
  <pivotTables>
    <pivotTable tabId="3" name="KPIs"/>
    <pivotTable tabId="3" name="generXtotal"/>
    <pivotTable tabId="3" name="Satisfaccion"/>
    <pivotTable tabId="3" name="Tabla _x000a_dinámica4"/>
    <pivotTable tabId="3" name="Ventas_por_ciudad"/>
    <pivotTable tabId="3" name="Tabla _x000a_dinámica6"/>
  </pivotTables>
  <data>
    <tabular pivotCacheId="1">
      <items count="2">
        <i x="1" s="1"/>
        <i x="0" s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City" cache="Segmento_City" caption="Ciudad" columnCount="2" style="SlicerStyleDark5" rowHeight="288000"/>
  <slicer name="Gender" cache="Segmento_Gender" caption="Genero" columnCount="2" style="SlicerStyleDark5" rowHeight="288000"/>
  <slicer name="Discuento" cache="Segmento_DiscountApplied" caption="Discuento" columnCount="2" style="SlicerStyleDark5" rowHeight="323999"/>
</slicers>
</file>

<file path=xl/tables/table1.xml><?xml version="1.0" encoding="utf-8"?>
<table xmlns="http://schemas.openxmlformats.org/spreadsheetml/2006/main" id="2" name="Behavior_DL" displayName="Behavior_DL" ref="A1:K352" totalsRowCount="1">
  <autoFilter xmlns:etc="http://www.wps.cn/officeDocument/2017/etCustomData" ref="A1:K351" etc:filterBottomFollowUsedRange="0"/>
  <tableColumns count="11">
    <tableColumn id="1" name="Customer ID" totalsRowLabel="Total"/>
    <tableColumn id="2" name="Gender"/>
    <tableColumn id="3" name="Age"/>
    <tableColumn id="4" name="City"/>
    <tableColumn id="5" name="Membership Type"/>
    <tableColumn id="6" name="Total Spend"/>
    <tableColumn id="7" name="Items Purchased"/>
    <tableColumn id="8" name="Average Rating"/>
    <tableColumn id="9" name="DiscountApplied" dataDxfId="0"/>
    <tableColumn id="10" name="Days Since Last Purchase"/>
    <tableColumn id="11" name="Satisfaction Level" totalsRowFunction="count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7" Type="http://schemas.openxmlformats.org/officeDocument/2006/relationships/pivotTable" Target="../pivotTables/pivotTable7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51"/>
  <sheetViews>
    <sheetView zoomScaleSheetLayoutView="60" workbookViewId="0">
      <selection activeCell="H22" sqref="H22"/>
    </sheetView>
  </sheetViews>
  <sheetFormatPr defaultColWidth="10.2857142857143"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52"/>
  <sheetViews>
    <sheetView zoomScaleSheetLayoutView="60" topLeftCell="A128" workbookViewId="0">
      <selection activeCell="G352" sqref="G352"/>
    </sheetView>
  </sheetViews>
  <sheetFormatPr defaultColWidth="10.2857142857143" defaultRowHeight="15"/>
  <cols>
    <col min="1" max="1" width="13.1428571428571" customWidth="1"/>
    <col min="3" max="3" width="7.28571428571429" customWidth="1"/>
    <col min="4" max="4" width="13.7142857142857" customWidth="1"/>
    <col min="5" max="5" width="16.7142857142857" customWidth="1"/>
    <col min="6" max="6" width="13.1428571428571" customWidth="1"/>
    <col min="7" max="7" width="17.1428571428571" customWidth="1"/>
    <col min="9" max="9" width="19.4285714285714" style="6" customWidth="1"/>
    <col min="10" max="10" width="25.2857142857143" customWidth="1"/>
    <col min="11" max="11" width="17.1428571428571" customWidth="1"/>
  </cols>
  <sheetData>
    <row r="1" spans="1:11">
      <c r="A1" t="s">
        <v>351</v>
      </c>
      <c r="B1" t="s">
        <v>352</v>
      </c>
      <c r="C1" t="s">
        <v>353</v>
      </c>
      <c r="D1" t="s">
        <v>354</v>
      </c>
      <c r="E1" t="s">
        <v>355</v>
      </c>
      <c r="F1" t="s">
        <v>356</v>
      </c>
      <c r="G1" t="s">
        <v>357</v>
      </c>
      <c r="H1" t="s">
        <v>358</v>
      </c>
      <c r="I1" s="6" t="s">
        <v>359</v>
      </c>
      <c r="J1" t="s">
        <v>360</v>
      </c>
      <c r="K1" t="s">
        <v>361</v>
      </c>
    </row>
    <row r="2" spans="1:11">
      <c r="A2">
        <v>101</v>
      </c>
      <c r="B2" t="s">
        <v>362</v>
      </c>
      <c r="C2">
        <v>29</v>
      </c>
      <c r="D2" t="s">
        <v>363</v>
      </c>
      <c r="E2" t="s">
        <v>364</v>
      </c>
      <c r="F2">
        <v>1120.2</v>
      </c>
      <c r="G2">
        <v>14</v>
      </c>
      <c r="H2">
        <v>4.6</v>
      </c>
      <c r="I2" s="6" t="b">
        <v>1</v>
      </c>
      <c r="J2">
        <v>25</v>
      </c>
      <c r="K2" t="s">
        <v>365</v>
      </c>
    </row>
    <row r="3" spans="1:11">
      <c r="A3">
        <v>102</v>
      </c>
      <c r="B3" t="s">
        <v>366</v>
      </c>
      <c r="C3">
        <v>34</v>
      </c>
      <c r="D3" t="s">
        <v>367</v>
      </c>
      <c r="E3" t="s">
        <v>368</v>
      </c>
      <c r="F3">
        <v>780.5</v>
      </c>
      <c r="G3">
        <v>11</v>
      </c>
      <c r="H3">
        <v>4.1</v>
      </c>
      <c r="I3" s="6" t="b">
        <v>0</v>
      </c>
      <c r="J3">
        <v>18</v>
      </c>
      <c r="K3" t="s">
        <v>369</v>
      </c>
    </row>
    <row r="4" spans="1:11">
      <c r="A4">
        <v>103</v>
      </c>
      <c r="B4" t="s">
        <v>362</v>
      </c>
      <c r="C4">
        <v>43</v>
      </c>
      <c r="D4" t="s">
        <v>370</v>
      </c>
      <c r="E4" t="s">
        <v>371</v>
      </c>
      <c r="F4">
        <v>510.75</v>
      </c>
      <c r="G4">
        <v>9</v>
      </c>
      <c r="H4">
        <v>3.4</v>
      </c>
      <c r="I4" s="6" t="b">
        <v>1</v>
      </c>
      <c r="J4">
        <v>42</v>
      </c>
      <c r="K4" t="s">
        <v>372</v>
      </c>
    </row>
    <row r="5" spans="1:11">
      <c r="A5">
        <v>104</v>
      </c>
      <c r="B5" t="s">
        <v>366</v>
      </c>
      <c r="C5">
        <v>30</v>
      </c>
      <c r="D5" t="s">
        <v>373</v>
      </c>
      <c r="E5" t="s">
        <v>364</v>
      </c>
      <c r="F5">
        <v>1480.3</v>
      </c>
      <c r="G5">
        <v>19</v>
      </c>
      <c r="H5">
        <v>4.7</v>
      </c>
      <c r="I5" s="6" t="b">
        <v>0</v>
      </c>
      <c r="J5">
        <v>12</v>
      </c>
      <c r="K5" t="s">
        <v>365</v>
      </c>
    </row>
    <row r="6" spans="1:11">
      <c r="A6">
        <v>105</v>
      </c>
      <c r="B6" t="s">
        <v>366</v>
      </c>
      <c r="C6">
        <v>27</v>
      </c>
      <c r="D6" t="s">
        <v>374</v>
      </c>
      <c r="E6" t="s">
        <v>368</v>
      </c>
      <c r="F6">
        <v>720.4</v>
      </c>
      <c r="G6">
        <v>13</v>
      </c>
      <c r="H6">
        <v>4</v>
      </c>
      <c r="I6" s="6" t="b">
        <v>1</v>
      </c>
      <c r="J6">
        <v>55</v>
      </c>
      <c r="K6" t="s">
        <v>372</v>
      </c>
    </row>
    <row r="7" spans="1:11">
      <c r="A7">
        <v>106</v>
      </c>
      <c r="B7" t="s">
        <v>362</v>
      </c>
      <c r="C7">
        <v>37</v>
      </c>
      <c r="D7" t="s">
        <v>375</v>
      </c>
      <c r="E7" t="s">
        <v>371</v>
      </c>
      <c r="F7">
        <v>440.8</v>
      </c>
      <c r="G7">
        <v>8</v>
      </c>
      <c r="H7">
        <v>3.1</v>
      </c>
      <c r="I7" s="6" t="b">
        <v>0</v>
      </c>
      <c r="J7">
        <v>22</v>
      </c>
      <c r="K7" t="s">
        <v>369</v>
      </c>
    </row>
    <row r="8" spans="1:11">
      <c r="A8">
        <v>107</v>
      </c>
      <c r="B8" t="s">
        <v>362</v>
      </c>
      <c r="C8">
        <v>31</v>
      </c>
      <c r="D8" t="s">
        <v>363</v>
      </c>
      <c r="E8" t="s">
        <v>364</v>
      </c>
      <c r="F8">
        <v>1150.6</v>
      </c>
      <c r="G8">
        <v>15</v>
      </c>
      <c r="H8">
        <v>4.5</v>
      </c>
      <c r="I8" s="6" t="b">
        <v>1</v>
      </c>
      <c r="J8">
        <v>28</v>
      </c>
      <c r="K8" t="s">
        <v>365</v>
      </c>
    </row>
    <row r="9" spans="1:11">
      <c r="A9">
        <v>108</v>
      </c>
      <c r="B9" t="s">
        <v>366</v>
      </c>
      <c r="C9">
        <v>35</v>
      </c>
      <c r="D9" t="s">
        <v>367</v>
      </c>
      <c r="E9" t="s">
        <v>368</v>
      </c>
      <c r="F9">
        <v>800.9</v>
      </c>
      <c r="G9">
        <v>12</v>
      </c>
      <c r="H9">
        <v>4.2</v>
      </c>
      <c r="I9" s="6" t="b">
        <v>0</v>
      </c>
      <c r="J9">
        <v>14</v>
      </c>
      <c r="K9" t="s">
        <v>369</v>
      </c>
    </row>
    <row r="10" spans="1:11">
      <c r="A10">
        <v>109</v>
      </c>
      <c r="B10" t="s">
        <v>362</v>
      </c>
      <c r="C10">
        <v>41</v>
      </c>
      <c r="D10" t="s">
        <v>370</v>
      </c>
      <c r="E10" t="s">
        <v>371</v>
      </c>
      <c r="F10">
        <v>495.25</v>
      </c>
      <c r="G10">
        <v>10</v>
      </c>
      <c r="H10">
        <v>3.6</v>
      </c>
      <c r="I10" s="6" t="b">
        <v>1</v>
      </c>
      <c r="J10">
        <v>40</v>
      </c>
      <c r="K10" t="s">
        <v>372</v>
      </c>
    </row>
    <row r="11" spans="1:11">
      <c r="A11">
        <v>110</v>
      </c>
      <c r="B11" t="s">
        <v>366</v>
      </c>
      <c r="C11">
        <v>28</v>
      </c>
      <c r="D11" t="s">
        <v>373</v>
      </c>
      <c r="E11" t="s">
        <v>364</v>
      </c>
      <c r="F11">
        <v>1520.1</v>
      </c>
      <c r="G11">
        <v>21</v>
      </c>
      <c r="H11">
        <v>4.8</v>
      </c>
      <c r="I11" s="6" t="b">
        <v>0</v>
      </c>
      <c r="J11">
        <v>9</v>
      </c>
      <c r="K11" t="s">
        <v>365</v>
      </c>
    </row>
    <row r="12" spans="1:11">
      <c r="A12">
        <v>111</v>
      </c>
      <c r="B12" t="s">
        <v>366</v>
      </c>
      <c r="C12">
        <v>32</v>
      </c>
      <c r="D12" t="s">
        <v>374</v>
      </c>
      <c r="E12" t="s">
        <v>368</v>
      </c>
      <c r="F12">
        <v>690.3</v>
      </c>
      <c r="G12">
        <v>11</v>
      </c>
      <c r="H12">
        <v>3.8</v>
      </c>
      <c r="I12" s="6" t="b">
        <v>1</v>
      </c>
      <c r="J12">
        <v>34</v>
      </c>
      <c r="K12" t="s">
        <v>372</v>
      </c>
    </row>
    <row r="13" spans="1:11">
      <c r="A13">
        <v>112</v>
      </c>
      <c r="B13" t="s">
        <v>362</v>
      </c>
      <c r="C13">
        <v>36</v>
      </c>
      <c r="D13" t="s">
        <v>375</v>
      </c>
      <c r="E13" t="s">
        <v>371</v>
      </c>
      <c r="F13">
        <v>470.5</v>
      </c>
      <c r="G13">
        <v>7</v>
      </c>
      <c r="H13">
        <v>3.2</v>
      </c>
      <c r="I13" s="6" t="b">
        <v>0</v>
      </c>
      <c r="J13">
        <v>20</v>
      </c>
      <c r="K13" t="s">
        <v>369</v>
      </c>
    </row>
    <row r="14" spans="1:11">
      <c r="A14">
        <v>113</v>
      </c>
      <c r="B14" t="s">
        <v>362</v>
      </c>
      <c r="C14">
        <v>30</v>
      </c>
      <c r="D14" t="s">
        <v>363</v>
      </c>
      <c r="E14" t="s">
        <v>364</v>
      </c>
      <c r="F14">
        <v>1200.8</v>
      </c>
      <c r="G14">
        <v>16</v>
      </c>
      <c r="H14">
        <v>4.3</v>
      </c>
      <c r="I14" s="6" t="b">
        <v>1</v>
      </c>
      <c r="J14">
        <v>21</v>
      </c>
      <c r="K14" t="s">
        <v>365</v>
      </c>
    </row>
    <row r="15" spans="1:11">
      <c r="A15">
        <v>114</v>
      </c>
      <c r="B15" t="s">
        <v>366</v>
      </c>
      <c r="C15">
        <v>33</v>
      </c>
      <c r="D15" t="s">
        <v>367</v>
      </c>
      <c r="E15" t="s">
        <v>368</v>
      </c>
      <c r="F15">
        <v>820.75</v>
      </c>
      <c r="G15">
        <v>13</v>
      </c>
      <c r="H15">
        <v>4.4</v>
      </c>
      <c r="I15" s="6" t="b">
        <v>0</v>
      </c>
      <c r="J15">
        <v>15</v>
      </c>
      <c r="K15" t="s">
        <v>365</v>
      </c>
    </row>
    <row r="16" spans="1:11">
      <c r="A16">
        <v>115</v>
      </c>
      <c r="B16" t="s">
        <v>362</v>
      </c>
      <c r="C16">
        <v>42</v>
      </c>
      <c r="D16" t="s">
        <v>370</v>
      </c>
      <c r="E16" t="s">
        <v>371</v>
      </c>
      <c r="F16">
        <v>530.4</v>
      </c>
      <c r="G16">
        <v>9</v>
      </c>
      <c r="H16">
        <v>3.5</v>
      </c>
      <c r="I16" s="6" t="b">
        <v>1</v>
      </c>
      <c r="J16">
        <v>38</v>
      </c>
      <c r="K16" t="s">
        <v>372</v>
      </c>
    </row>
    <row r="17" spans="1:11">
      <c r="A17">
        <v>116</v>
      </c>
      <c r="B17" t="s">
        <v>366</v>
      </c>
      <c r="C17">
        <v>29</v>
      </c>
      <c r="D17" t="s">
        <v>373</v>
      </c>
      <c r="E17" t="s">
        <v>364</v>
      </c>
      <c r="F17">
        <v>1360.2</v>
      </c>
      <c r="G17">
        <v>18</v>
      </c>
      <c r="H17">
        <v>4.9</v>
      </c>
      <c r="I17" s="6" t="b">
        <v>0</v>
      </c>
      <c r="J17">
        <v>11</v>
      </c>
      <c r="K17" t="s">
        <v>365</v>
      </c>
    </row>
    <row r="18" spans="1:11">
      <c r="A18">
        <v>117</v>
      </c>
      <c r="B18" t="s">
        <v>366</v>
      </c>
      <c r="C18">
        <v>26</v>
      </c>
      <c r="D18" t="s">
        <v>374</v>
      </c>
      <c r="E18" t="s">
        <v>368</v>
      </c>
      <c r="F18">
        <v>700.6</v>
      </c>
      <c r="G18">
        <v>12</v>
      </c>
      <c r="H18">
        <v>3.7</v>
      </c>
      <c r="I18" s="6" t="b">
        <v>1</v>
      </c>
      <c r="J18">
        <v>48</v>
      </c>
      <c r="K18" t="s">
        <v>372</v>
      </c>
    </row>
    <row r="19" spans="1:11">
      <c r="A19">
        <v>118</v>
      </c>
      <c r="B19" t="s">
        <v>362</v>
      </c>
      <c r="C19">
        <v>38</v>
      </c>
      <c r="D19" t="s">
        <v>375</v>
      </c>
      <c r="E19" t="s">
        <v>371</v>
      </c>
      <c r="F19">
        <v>450.9</v>
      </c>
      <c r="G19">
        <v>8</v>
      </c>
      <c r="H19">
        <v>3</v>
      </c>
      <c r="I19" s="6" t="b">
        <v>0</v>
      </c>
      <c r="J19">
        <v>25</v>
      </c>
      <c r="K19" t="s">
        <v>369</v>
      </c>
    </row>
    <row r="20" spans="1:11">
      <c r="A20">
        <v>119</v>
      </c>
      <c r="B20" t="s">
        <v>362</v>
      </c>
      <c r="C20">
        <v>32</v>
      </c>
      <c r="D20" t="s">
        <v>363</v>
      </c>
      <c r="E20" t="s">
        <v>364</v>
      </c>
      <c r="F20">
        <v>1170.3</v>
      </c>
      <c r="G20">
        <v>14</v>
      </c>
      <c r="H20">
        <v>4.7</v>
      </c>
      <c r="I20" s="6" t="b">
        <v>1</v>
      </c>
      <c r="J20">
        <v>29</v>
      </c>
      <c r="K20" t="s">
        <v>365</v>
      </c>
    </row>
    <row r="21" spans="1:11">
      <c r="A21">
        <v>120</v>
      </c>
      <c r="B21" t="s">
        <v>366</v>
      </c>
      <c r="C21">
        <v>34</v>
      </c>
      <c r="D21" t="s">
        <v>367</v>
      </c>
      <c r="E21" t="s">
        <v>368</v>
      </c>
      <c r="F21">
        <v>790.2</v>
      </c>
      <c r="G21">
        <v>11</v>
      </c>
      <c r="H21">
        <v>4</v>
      </c>
      <c r="I21" s="6" t="b">
        <v>0</v>
      </c>
      <c r="J21">
        <v>16</v>
      </c>
      <c r="K21" t="s">
        <v>369</v>
      </c>
    </row>
    <row r="22" spans="1:11">
      <c r="A22">
        <v>121</v>
      </c>
      <c r="B22" t="s">
        <v>362</v>
      </c>
      <c r="C22">
        <v>43</v>
      </c>
      <c r="D22" t="s">
        <v>370</v>
      </c>
      <c r="E22" t="s">
        <v>371</v>
      </c>
      <c r="F22">
        <v>505.75</v>
      </c>
      <c r="G22">
        <v>10</v>
      </c>
      <c r="H22">
        <v>3.3</v>
      </c>
      <c r="I22" s="6" t="b">
        <v>1</v>
      </c>
      <c r="J22">
        <v>41</v>
      </c>
      <c r="K22" t="s">
        <v>372</v>
      </c>
    </row>
    <row r="23" spans="1:11">
      <c r="A23">
        <v>122</v>
      </c>
      <c r="B23" t="s">
        <v>366</v>
      </c>
      <c r="C23">
        <v>30</v>
      </c>
      <c r="D23" t="s">
        <v>373</v>
      </c>
      <c r="E23" t="s">
        <v>364</v>
      </c>
      <c r="F23">
        <v>1470.5</v>
      </c>
      <c r="G23">
        <v>20</v>
      </c>
      <c r="H23">
        <v>4.8</v>
      </c>
      <c r="I23" s="6" t="b">
        <v>0</v>
      </c>
      <c r="J23">
        <v>13</v>
      </c>
      <c r="K23" t="s">
        <v>365</v>
      </c>
    </row>
    <row r="24" spans="1:11">
      <c r="A24">
        <v>123</v>
      </c>
      <c r="B24" t="s">
        <v>366</v>
      </c>
      <c r="C24">
        <v>27</v>
      </c>
      <c r="D24" t="s">
        <v>374</v>
      </c>
      <c r="E24" t="s">
        <v>368</v>
      </c>
      <c r="F24">
        <v>710.4</v>
      </c>
      <c r="G24">
        <v>13</v>
      </c>
      <c r="H24">
        <v>4.1</v>
      </c>
      <c r="I24" s="6" t="b">
        <v>1</v>
      </c>
      <c r="J24">
        <v>54</v>
      </c>
      <c r="K24" t="s">
        <v>372</v>
      </c>
    </row>
    <row r="25" spans="1:11">
      <c r="A25">
        <v>124</v>
      </c>
      <c r="B25" t="s">
        <v>362</v>
      </c>
      <c r="C25">
        <v>37</v>
      </c>
      <c r="D25" t="s">
        <v>375</v>
      </c>
      <c r="E25" t="s">
        <v>371</v>
      </c>
      <c r="F25">
        <v>430.8</v>
      </c>
      <c r="G25">
        <v>7</v>
      </c>
      <c r="H25">
        <v>3.4</v>
      </c>
      <c r="I25" s="6" t="b">
        <v>0</v>
      </c>
      <c r="J25">
        <v>23</v>
      </c>
      <c r="K25" t="s">
        <v>369</v>
      </c>
    </row>
    <row r="26" spans="1:11">
      <c r="A26">
        <v>125</v>
      </c>
      <c r="B26" t="s">
        <v>362</v>
      </c>
      <c r="C26">
        <v>31</v>
      </c>
      <c r="D26" t="s">
        <v>363</v>
      </c>
      <c r="E26" t="s">
        <v>364</v>
      </c>
      <c r="F26">
        <v>1140.6</v>
      </c>
      <c r="G26">
        <v>15</v>
      </c>
      <c r="H26">
        <v>4.6</v>
      </c>
      <c r="I26" s="6" t="b">
        <v>1</v>
      </c>
      <c r="J26">
        <v>27</v>
      </c>
      <c r="K26" t="s">
        <v>365</v>
      </c>
    </row>
    <row r="27" spans="1:11">
      <c r="A27">
        <v>126</v>
      </c>
      <c r="B27" t="s">
        <v>366</v>
      </c>
      <c r="C27">
        <v>35</v>
      </c>
      <c r="D27" t="s">
        <v>367</v>
      </c>
      <c r="E27" t="s">
        <v>368</v>
      </c>
      <c r="F27">
        <v>810.9</v>
      </c>
      <c r="G27">
        <v>12</v>
      </c>
      <c r="H27">
        <v>4.3</v>
      </c>
      <c r="I27" s="6" t="b">
        <v>0</v>
      </c>
      <c r="J27">
        <v>13</v>
      </c>
      <c r="K27" t="s">
        <v>369</v>
      </c>
    </row>
    <row r="28" spans="1:11">
      <c r="A28">
        <v>127</v>
      </c>
      <c r="B28" t="s">
        <v>362</v>
      </c>
      <c r="C28">
        <v>41</v>
      </c>
      <c r="D28" t="s">
        <v>370</v>
      </c>
      <c r="E28" t="s">
        <v>371</v>
      </c>
      <c r="F28">
        <v>485.25</v>
      </c>
      <c r="G28">
        <v>9</v>
      </c>
      <c r="H28">
        <v>3.6</v>
      </c>
      <c r="I28" s="6" t="b">
        <v>1</v>
      </c>
      <c r="J28">
        <v>39</v>
      </c>
      <c r="K28" t="s">
        <v>372</v>
      </c>
    </row>
    <row r="29" spans="1:11">
      <c r="A29">
        <v>128</v>
      </c>
      <c r="B29" t="s">
        <v>366</v>
      </c>
      <c r="C29">
        <v>28</v>
      </c>
      <c r="D29" t="s">
        <v>373</v>
      </c>
      <c r="E29" t="s">
        <v>364</v>
      </c>
      <c r="F29">
        <v>1500.1</v>
      </c>
      <c r="G29">
        <v>21</v>
      </c>
      <c r="H29">
        <v>4.9</v>
      </c>
      <c r="I29" s="6" t="b">
        <v>0</v>
      </c>
      <c r="J29">
        <v>10</v>
      </c>
      <c r="K29" t="s">
        <v>365</v>
      </c>
    </row>
    <row r="30" spans="1:11">
      <c r="A30">
        <v>129</v>
      </c>
      <c r="B30" t="s">
        <v>366</v>
      </c>
      <c r="C30">
        <v>32</v>
      </c>
      <c r="D30" t="s">
        <v>374</v>
      </c>
      <c r="E30" t="s">
        <v>368</v>
      </c>
      <c r="F30">
        <v>670.3</v>
      </c>
      <c r="G30">
        <v>10</v>
      </c>
      <c r="H30">
        <v>3.8</v>
      </c>
      <c r="I30" s="6" t="b">
        <v>1</v>
      </c>
      <c r="J30">
        <v>33</v>
      </c>
      <c r="K30" t="s">
        <v>372</v>
      </c>
    </row>
    <row r="31" spans="1:11">
      <c r="A31">
        <v>130</v>
      </c>
      <c r="B31" t="s">
        <v>362</v>
      </c>
      <c r="C31">
        <v>36</v>
      </c>
      <c r="D31" t="s">
        <v>375</v>
      </c>
      <c r="E31" t="s">
        <v>371</v>
      </c>
      <c r="F31">
        <v>460.5</v>
      </c>
      <c r="G31">
        <v>8</v>
      </c>
      <c r="H31">
        <v>3.1</v>
      </c>
      <c r="I31" s="6" t="b">
        <v>0</v>
      </c>
      <c r="J31">
        <v>19</v>
      </c>
      <c r="K31" t="s">
        <v>369</v>
      </c>
    </row>
    <row r="32" spans="1:11">
      <c r="A32">
        <v>131</v>
      </c>
      <c r="B32" t="s">
        <v>362</v>
      </c>
      <c r="C32">
        <v>30</v>
      </c>
      <c r="D32" t="s">
        <v>363</v>
      </c>
      <c r="E32" t="s">
        <v>364</v>
      </c>
      <c r="F32">
        <v>1190.8</v>
      </c>
      <c r="G32">
        <v>16</v>
      </c>
      <c r="H32">
        <v>4.5</v>
      </c>
      <c r="I32" s="6" t="b">
        <v>1</v>
      </c>
      <c r="J32">
        <v>20</v>
      </c>
      <c r="K32" t="s">
        <v>365</v>
      </c>
    </row>
    <row r="33" spans="1:11">
      <c r="A33">
        <v>132</v>
      </c>
      <c r="B33" t="s">
        <v>366</v>
      </c>
      <c r="C33">
        <v>33</v>
      </c>
      <c r="D33" t="s">
        <v>367</v>
      </c>
      <c r="E33" t="s">
        <v>368</v>
      </c>
      <c r="F33">
        <v>830.75</v>
      </c>
      <c r="G33">
        <v>13</v>
      </c>
      <c r="H33">
        <v>4.2</v>
      </c>
      <c r="I33" s="6" t="b">
        <v>0</v>
      </c>
      <c r="J33">
        <v>14</v>
      </c>
      <c r="K33" t="s">
        <v>365</v>
      </c>
    </row>
    <row r="34" spans="1:11">
      <c r="A34">
        <v>133</v>
      </c>
      <c r="B34" t="s">
        <v>362</v>
      </c>
      <c r="C34">
        <v>42</v>
      </c>
      <c r="D34" t="s">
        <v>370</v>
      </c>
      <c r="E34" t="s">
        <v>371</v>
      </c>
      <c r="F34">
        <v>520.4</v>
      </c>
      <c r="G34">
        <v>9</v>
      </c>
      <c r="H34">
        <v>3.5</v>
      </c>
      <c r="I34" s="6" t="b">
        <v>1</v>
      </c>
      <c r="J34">
        <v>37</v>
      </c>
      <c r="K34" t="s">
        <v>372</v>
      </c>
    </row>
    <row r="35" spans="1:11">
      <c r="A35">
        <v>134</v>
      </c>
      <c r="B35" t="s">
        <v>366</v>
      </c>
      <c r="C35">
        <v>29</v>
      </c>
      <c r="D35" t="s">
        <v>373</v>
      </c>
      <c r="E35" t="s">
        <v>364</v>
      </c>
      <c r="F35">
        <v>1370.2</v>
      </c>
      <c r="G35">
        <v>18</v>
      </c>
      <c r="H35">
        <v>4.7</v>
      </c>
      <c r="I35" s="6" t="b">
        <v>0</v>
      </c>
      <c r="J35">
        <v>10</v>
      </c>
      <c r="K35" t="s">
        <v>365</v>
      </c>
    </row>
    <row r="36" spans="1:11">
      <c r="A36">
        <v>135</v>
      </c>
      <c r="B36" t="s">
        <v>366</v>
      </c>
      <c r="C36">
        <v>26</v>
      </c>
      <c r="D36" t="s">
        <v>374</v>
      </c>
      <c r="E36" t="s">
        <v>368</v>
      </c>
      <c r="F36">
        <v>690.6</v>
      </c>
      <c r="G36">
        <v>12</v>
      </c>
      <c r="H36">
        <v>3.9</v>
      </c>
      <c r="I36" s="6" t="b">
        <v>1</v>
      </c>
      <c r="J36">
        <v>47</v>
      </c>
      <c r="K36" t="s">
        <v>372</v>
      </c>
    </row>
    <row r="37" spans="1:11">
      <c r="A37">
        <v>136</v>
      </c>
      <c r="B37" t="s">
        <v>362</v>
      </c>
      <c r="C37">
        <v>38</v>
      </c>
      <c r="D37" t="s">
        <v>375</v>
      </c>
      <c r="E37" t="s">
        <v>371</v>
      </c>
      <c r="F37">
        <v>440.9</v>
      </c>
      <c r="G37">
        <v>8</v>
      </c>
      <c r="H37">
        <v>3.2</v>
      </c>
      <c r="I37" s="6" t="b">
        <v>0</v>
      </c>
      <c r="J37">
        <v>24</v>
      </c>
      <c r="K37" t="s">
        <v>369</v>
      </c>
    </row>
    <row r="38" spans="1:11">
      <c r="A38">
        <v>137</v>
      </c>
      <c r="B38" t="s">
        <v>362</v>
      </c>
      <c r="C38">
        <v>32</v>
      </c>
      <c r="D38" t="s">
        <v>363</v>
      </c>
      <c r="E38" t="s">
        <v>364</v>
      </c>
      <c r="F38">
        <v>1160.3</v>
      </c>
      <c r="G38">
        <v>14</v>
      </c>
      <c r="H38">
        <v>4.4</v>
      </c>
      <c r="I38" s="6" t="b">
        <v>1</v>
      </c>
      <c r="J38">
        <v>22</v>
      </c>
      <c r="K38" t="s">
        <v>365</v>
      </c>
    </row>
    <row r="39" spans="1:11">
      <c r="A39">
        <v>138</v>
      </c>
      <c r="B39" t="s">
        <v>366</v>
      </c>
      <c r="C39">
        <v>34</v>
      </c>
      <c r="D39" t="s">
        <v>367</v>
      </c>
      <c r="E39" t="s">
        <v>368</v>
      </c>
      <c r="F39">
        <v>800.2</v>
      </c>
      <c r="G39">
        <v>11</v>
      </c>
      <c r="H39">
        <v>4.1</v>
      </c>
      <c r="I39" s="6" t="b">
        <v>0</v>
      </c>
      <c r="J39">
        <v>17</v>
      </c>
      <c r="K39" t="s">
        <v>369</v>
      </c>
    </row>
    <row r="40" spans="1:11">
      <c r="A40">
        <v>139</v>
      </c>
      <c r="B40" t="s">
        <v>362</v>
      </c>
      <c r="C40">
        <v>43</v>
      </c>
      <c r="D40" t="s">
        <v>370</v>
      </c>
      <c r="E40" t="s">
        <v>371</v>
      </c>
      <c r="F40">
        <v>500.75</v>
      </c>
      <c r="G40">
        <v>10</v>
      </c>
      <c r="H40">
        <v>3.3</v>
      </c>
      <c r="I40" s="6" t="b">
        <v>1</v>
      </c>
      <c r="J40">
        <v>40</v>
      </c>
      <c r="K40" t="s">
        <v>372</v>
      </c>
    </row>
    <row r="41" spans="1:11">
      <c r="A41">
        <v>140</v>
      </c>
      <c r="B41" t="s">
        <v>366</v>
      </c>
      <c r="C41">
        <v>30</v>
      </c>
      <c r="D41" t="s">
        <v>373</v>
      </c>
      <c r="E41" t="s">
        <v>364</v>
      </c>
      <c r="F41">
        <v>1460.5</v>
      </c>
      <c r="G41">
        <v>20</v>
      </c>
      <c r="H41">
        <v>4.8</v>
      </c>
      <c r="I41" s="6" t="b">
        <v>0</v>
      </c>
      <c r="J41">
        <v>12</v>
      </c>
      <c r="K41" t="s">
        <v>365</v>
      </c>
    </row>
    <row r="42" spans="1:11">
      <c r="A42">
        <v>141</v>
      </c>
      <c r="B42" t="s">
        <v>366</v>
      </c>
      <c r="C42">
        <v>27</v>
      </c>
      <c r="D42" t="s">
        <v>374</v>
      </c>
      <c r="E42" t="s">
        <v>368</v>
      </c>
      <c r="F42">
        <v>700.4</v>
      </c>
      <c r="G42">
        <v>13</v>
      </c>
      <c r="H42">
        <v>4</v>
      </c>
      <c r="I42" s="6" t="b">
        <v>1</v>
      </c>
      <c r="J42">
        <v>53</v>
      </c>
      <c r="K42" t="s">
        <v>372</v>
      </c>
    </row>
    <row r="43" spans="1:11">
      <c r="A43">
        <v>142</v>
      </c>
      <c r="B43" t="s">
        <v>362</v>
      </c>
      <c r="C43">
        <v>37</v>
      </c>
      <c r="D43" t="s">
        <v>375</v>
      </c>
      <c r="E43" t="s">
        <v>371</v>
      </c>
      <c r="F43">
        <v>420.8</v>
      </c>
      <c r="G43">
        <v>7</v>
      </c>
      <c r="H43">
        <v>3.1</v>
      </c>
      <c r="I43" s="6" t="b">
        <v>0</v>
      </c>
      <c r="J43">
        <v>21</v>
      </c>
      <c r="K43" t="s">
        <v>369</v>
      </c>
    </row>
    <row r="44" spans="1:11">
      <c r="A44">
        <v>143</v>
      </c>
      <c r="B44" t="s">
        <v>362</v>
      </c>
      <c r="C44">
        <v>31</v>
      </c>
      <c r="D44" t="s">
        <v>363</v>
      </c>
      <c r="E44" t="s">
        <v>364</v>
      </c>
      <c r="F44">
        <v>1130.6</v>
      </c>
      <c r="G44">
        <v>15</v>
      </c>
      <c r="H44">
        <v>4.5</v>
      </c>
      <c r="I44" s="6" t="b">
        <v>1</v>
      </c>
      <c r="J44">
        <v>26</v>
      </c>
      <c r="K44" t="s">
        <v>365</v>
      </c>
    </row>
    <row r="45" spans="1:11">
      <c r="A45">
        <v>144</v>
      </c>
      <c r="B45" t="s">
        <v>366</v>
      </c>
      <c r="C45">
        <v>35</v>
      </c>
      <c r="D45" t="s">
        <v>367</v>
      </c>
      <c r="E45" t="s">
        <v>368</v>
      </c>
      <c r="F45">
        <v>820.9</v>
      </c>
      <c r="G45">
        <v>12</v>
      </c>
      <c r="H45">
        <v>4.3</v>
      </c>
      <c r="I45" s="6" t="b">
        <v>0</v>
      </c>
      <c r="J45">
        <v>12</v>
      </c>
      <c r="K45" t="s">
        <v>369</v>
      </c>
    </row>
    <row r="46" spans="1:11">
      <c r="A46">
        <v>145</v>
      </c>
      <c r="B46" t="s">
        <v>362</v>
      </c>
      <c r="C46">
        <v>41</v>
      </c>
      <c r="D46" t="s">
        <v>370</v>
      </c>
      <c r="E46" t="s">
        <v>371</v>
      </c>
      <c r="F46">
        <v>480.25</v>
      </c>
      <c r="G46">
        <v>9</v>
      </c>
      <c r="H46">
        <v>3.6</v>
      </c>
      <c r="I46" s="6" t="b">
        <v>1</v>
      </c>
      <c r="J46">
        <v>38</v>
      </c>
      <c r="K46" t="s">
        <v>372</v>
      </c>
    </row>
    <row r="47" spans="1:11">
      <c r="A47">
        <v>146</v>
      </c>
      <c r="B47" t="s">
        <v>366</v>
      </c>
      <c r="C47">
        <v>28</v>
      </c>
      <c r="D47" t="s">
        <v>373</v>
      </c>
      <c r="E47" t="s">
        <v>364</v>
      </c>
      <c r="F47">
        <v>1490.1</v>
      </c>
      <c r="G47">
        <v>21</v>
      </c>
      <c r="H47">
        <v>4.9</v>
      </c>
      <c r="I47" s="6" t="b">
        <v>0</v>
      </c>
      <c r="J47">
        <v>9</v>
      </c>
      <c r="K47" t="s">
        <v>365</v>
      </c>
    </row>
    <row r="48" spans="1:11">
      <c r="A48">
        <v>147</v>
      </c>
      <c r="B48" t="s">
        <v>366</v>
      </c>
      <c r="C48">
        <v>32</v>
      </c>
      <c r="D48" t="s">
        <v>374</v>
      </c>
      <c r="E48" t="s">
        <v>368</v>
      </c>
      <c r="F48">
        <v>680.3</v>
      </c>
      <c r="G48">
        <v>10</v>
      </c>
      <c r="H48">
        <v>3.8</v>
      </c>
      <c r="I48" s="6" t="b">
        <v>1</v>
      </c>
      <c r="J48">
        <v>32</v>
      </c>
      <c r="K48" t="s">
        <v>372</v>
      </c>
    </row>
    <row r="49" spans="1:11">
      <c r="A49">
        <v>148</v>
      </c>
      <c r="B49" t="s">
        <v>362</v>
      </c>
      <c r="C49">
        <v>36</v>
      </c>
      <c r="D49" t="s">
        <v>375</v>
      </c>
      <c r="E49" t="s">
        <v>371</v>
      </c>
      <c r="F49">
        <v>470.5</v>
      </c>
      <c r="G49">
        <v>8</v>
      </c>
      <c r="H49">
        <v>3</v>
      </c>
      <c r="I49" s="6" t="b">
        <v>0</v>
      </c>
      <c r="J49">
        <v>18</v>
      </c>
      <c r="K49" t="s">
        <v>369</v>
      </c>
    </row>
    <row r="50" spans="1:11">
      <c r="A50">
        <v>149</v>
      </c>
      <c r="B50" t="s">
        <v>362</v>
      </c>
      <c r="C50">
        <v>30</v>
      </c>
      <c r="D50" t="s">
        <v>363</v>
      </c>
      <c r="E50" t="s">
        <v>364</v>
      </c>
      <c r="F50">
        <v>1180.8</v>
      </c>
      <c r="G50">
        <v>16</v>
      </c>
      <c r="H50">
        <v>4.7</v>
      </c>
      <c r="I50" s="6" t="b">
        <v>1</v>
      </c>
      <c r="J50">
        <v>19</v>
      </c>
      <c r="K50" t="s">
        <v>365</v>
      </c>
    </row>
    <row r="51" spans="1:11">
      <c r="A51">
        <v>150</v>
      </c>
      <c r="B51" t="s">
        <v>366</v>
      </c>
      <c r="C51">
        <v>34</v>
      </c>
      <c r="D51" t="s">
        <v>367</v>
      </c>
      <c r="E51" t="s">
        <v>368</v>
      </c>
      <c r="F51">
        <v>790.2</v>
      </c>
      <c r="G51">
        <v>11</v>
      </c>
      <c r="H51">
        <v>4</v>
      </c>
      <c r="I51" s="6" t="b">
        <v>0</v>
      </c>
      <c r="J51">
        <v>15</v>
      </c>
      <c r="K51" t="s">
        <v>369</v>
      </c>
    </row>
    <row r="52" spans="1:11">
      <c r="A52">
        <v>151</v>
      </c>
      <c r="B52" t="s">
        <v>362</v>
      </c>
      <c r="C52">
        <v>43</v>
      </c>
      <c r="D52" t="s">
        <v>370</v>
      </c>
      <c r="E52" t="s">
        <v>371</v>
      </c>
      <c r="F52">
        <v>505.75</v>
      </c>
      <c r="G52">
        <v>10</v>
      </c>
      <c r="H52">
        <v>3.3</v>
      </c>
      <c r="I52" s="6" t="b">
        <v>1</v>
      </c>
      <c r="J52">
        <v>39</v>
      </c>
      <c r="K52" t="s">
        <v>372</v>
      </c>
    </row>
    <row r="53" spans="1:11">
      <c r="A53">
        <v>152</v>
      </c>
      <c r="B53" t="s">
        <v>366</v>
      </c>
      <c r="C53">
        <v>30</v>
      </c>
      <c r="D53" t="s">
        <v>373</v>
      </c>
      <c r="E53" t="s">
        <v>364</v>
      </c>
      <c r="F53">
        <v>1470.5</v>
      </c>
      <c r="G53">
        <v>20</v>
      </c>
      <c r="H53">
        <v>4.8</v>
      </c>
      <c r="I53" s="6" t="b">
        <v>0</v>
      </c>
      <c r="J53">
        <v>13</v>
      </c>
      <c r="K53" t="s">
        <v>365</v>
      </c>
    </row>
    <row r="54" spans="1:11">
      <c r="A54">
        <v>153</v>
      </c>
      <c r="B54" t="s">
        <v>366</v>
      </c>
      <c r="C54">
        <v>27</v>
      </c>
      <c r="D54" t="s">
        <v>374</v>
      </c>
      <c r="E54" t="s">
        <v>368</v>
      </c>
      <c r="F54">
        <v>710.4</v>
      </c>
      <c r="G54">
        <v>13</v>
      </c>
      <c r="H54">
        <v>4.1</v>
      </c>
      <c r="I54" s="6" t="b">
        <v>1</v>
      </c>
      <c r="J54">
        <v>54</v>
      </c>
      <c r="K54" t="s">
        <v>372</v>
      </c>
    </row>
    <row r="55" spans="1:11">
      <c r="A55">
        <v>154</v>
      </c>
      <c r="B55" t="s">
        <v>362</v>
      </c>
      <c r="C55">
        <v>37</v>
      </c>
      <c r="D55" t="s">
        <v>375</v>
      </c>
      <c r="E55" t="s">
        <v>371</v>
      </c>
      <c r="F55">
        <v>430.8</v>
      </c>
      <c r="G55">
        <v>7</v>
      </c>
      <c r="H55">
        <v>3.4</v>
      </c>
      <c r="I55" s="6" t="b">
        <v>0</v>
      </c>
      <c r="J55">
        <v>23</v>
      </c>
      <c r="K55" t="s">
        <v>369</v>
      </c>
    </row>
    <row r="56" spans="1:11">
      <c r="A56">
        <v>155</v>
      </c>
      <c r="B56" t="s">
        <v>362</v>
      </c>
      <c r="C56">
        <v>31</v>
      </c>
      <c r="D56" t="s">
        <v>363</v>
      </c>
      <c r="E56" t="s">
        <v>364</v>
      </c>
      <c r="F56">
        <v>1140.6</v>
      </c>
      <c r="G56">
        <v>15</v>
      </c>
      <c r="H56">
        <v>4.6</v>
      </c>
      <c r="I56" s="6" t="b">
        <v>1</v>
      </c>
      <c r="J56">
        <v>27</v>
      </c>
      <c r="K56" t="s">
        <v>365</v>
      </c>
    </row>
    <row r="57" spans="1:11">
      <c r="A57">
        <v>156</v>
      </c>
      <c r="B57" t="s">
        <v>366</v>
      </c>
      <c r="C57">
        <v>35</v>
      </c>
      <c r="D57" t="s">
        <v>367</v>
      </c>
      <c r="E57" t="s">
        <v>368</v>
      </c>
      <c r="F57">
        <v>810.9</v>
      </c>
      <c r="G57">
        <v>12</v>
      </c>
      <c r="H57">
        <v>4.3</v>
      </c>
      <c r="I57" s="6" t="b">
        <v>0</v>
      </c>
      <c r="J57">
        <v>13</v>
      </c>
      <c r="K57" t="s">
        <v>369</v>
      </c>
    </row>
    <row r="58" spans="1:11">
      <c r="A58">
        <v>157</v>
      </c>
      <c r="B58" t="s">
        <v>362</v>
      </c>
      <c r="C58">
        <v>41</v>
      </c>
      <c r="D58" t="s">
        <v>370</v>
      </c>
      <c r="E58" t="s">
        <v>371</v>
      </c>
      <c r="F58">
        <v>485.25</v>
      </c>
      <c r="G58">
        <v>9</v>
      </c>
      <c r="H58">
        <v>3.6</v>
      </c>
      <c r="I58" s="6" t="b">
        <v>1</v>
      </c>
      <c r="J58">
        <v>39</v>
      </c>
      <c r="K58" t="s">
        <v>372</v>
      </c>
    </row>
    <row r="59" spans="1:11">
      <c r="A59">
        <v>158</v>
      </c>
      <c r="B59" t="s">
        <v>366</v>
      </c>
      <c r="C59">
        <v>28</v>
      </c>
      <c r="D59" t="s">
        <v>373</v>
      </c>
      <c r="E59" t="s">
        <v>364</v>
      </c>
      <c r="F59">
        <v>1500.1</v>
      </c>
      <c r="G59">
        <v>21</v>
      </c>
      <c r="H59">
        <v>4.9</v>
      </c>
      <c r="I59" s="6" t="b">
        <v>0</v>
      </c>
      <c r="J59">
        <v>10</v>
      </c>
      <c r="K59" t="s">
        <v>365</v>
      </c>
    </row>
    <row r="60" spans="1:11">
      <c r="A60">
        <v>159</v>
      </c>
      <c r="B60" t="s">
        <v>366</v>
      </c>
      <c r="C60">
        <v>32</v>
      </c>
      <c r="D60" t="s">
        <v>374</v>
      </c>
      <c r="E60" t="s">
        <v>368</v>
      </c>
      <c r="F60">
        <v>670.3</v>
      </c>
      <c r="G60">
        <v>10</v>
      </c>
      <c r="H60">
        <v>3.8</v>
      </c>
      <c r="I60" s="6" t="b">
        <v>1</v>
      </c>
      <c r="J60">
        <v>33</v>
      </c>
      <c r="K60" t="s">
        <v>372</v>
      </c>
    </row>
    <row r="61" spans="1:11">
      <c r="A61">
        <v>160</v>
      </c>
      <c r="B61" t="s">
        <v>362</v>
      </c>
      <c r="C61">
        <v>36</v>
      </c>
      <c r="D61" t="s">
        <v>375</v>
      </c>
      <c r="E61" t="s">
        <v>371</v>
      </c>
      <c r="F61">
        <v>460.5</v>
      </c>
      <c r="G61">
        <v>8</v>
      </c>
      <c r="H61">
        <v>3.1</v>
      </c>
      <c r="I61" s="6" t="b">
        <v>0</v>
      </c>
      <c r="J61">
        <v>19</v>
      </c>
      <c r="K61" t="s">
        <v>369</v>
      </c>
    </row>
    <row r="62" spans="1:11">
      <c r="A62">
        <v>161</v>
      </c>
      <c r="B62" t="s">
        <v>362</v>
      </c>
      <c r="C62">
        <v>30</v>
      </c>
      <c r="D62" t="s">
        <v>363</v>
      </c>
      <c r="E62" t="s">
        <v>364</v>
      </c>
      <c r="F62">
        <v>1190.8</v>
      </c>
      <c r="G62">
        <v>16</v>
      </c>
      <c r="H62">
        <v>4.5</v>
      </c>
      <c r="I62" s="6" t="b">
        <v>1</v>
      </c>
      <c r="J62">
        <v>20</v>
      </c>
      <c r="K62" t="s">
        <v>365</v>
      </c>
    </row>
    <row r="63" spans="1:11">
      <c r="A63">
        <v>162</v>
      </c>
      <c r="B63" t="s">
        <v>366</v>
      </c>
      <c r="C63">
        <v>33</v>
      </c>
      <c r="D63" t="s">
        <v>367</v>
      </c>
      <c r="E63" t="s">
        <v>368</v>
      </c>
      <c r="F63">
        <v>830.75</v>
      </c>
      <c r="G63">
        <v>13</v>
      </c>
      <c r="H63">
        <v>4.2</v>
      </c>
      <c r="I63" s="6" t="b">
        <v>0</v>
      </c>
      <c r="J63">
        <v>14</v>
      </c>
      <c r="K63" t="s">
        <v>365</v>
      </c>
    </row>
    <row r="64" spans="1:11">
      <c r="A64">
        <v>163</v>
      </c>
      <c r="B64" t="s">
        <v>362</v>
      </c>
      <c r="C64">
        <v>42</v>
      </c>
      <c r="D64" t="s">
        <v>370</v>
      </c>
      <c r="E64" t="s">
        <v>371</v>
      </c>
      <c r="F64">
        <v>520.4</v>
      </c>
      <c r="G64">
        <v>9</v>
      </c>
      <c r="H64">
        <v>3.5</v>
      </c>
      <c r="I64" s="6" t="b">
        <v>1</v>
      </c>
      <c r="J64">
        <v>37</v>
      </c>
      <c r="K64" t="s">
        <v>372</v>
      </c>
    </row>
    <row r="65" spans="1:11">
      <c r="A65">
        <v>164</v>
      </c>
      <c r="B65" t="s">
        <v>366</v>
      </c>
      <c r="C65">
        <v>29</v>
      </c>
      <c r="D65" t="s">
        <v>373</v>
      </c>
      <c r="E65" t="s">
        <v>364</v>
      </c>
      <c r="F65">
        <v>1370.2</v>
      </c>
      <c r="G65">
        <v>18</v>
      </c>
      <c r="H65">
        <v>4.7</v>
      </c>
      <c r="I65" s="6" t="b">
        <v>0</v>
      </c>
      <c r="J65">
        <v>10</v>
      </c>
      <c r="K65" t="s">
        <v>365</v>
      </c>
    </row>
    <row r="66" spans="1:11">
      <c r="A66">
        <v>165</v>
      </c>
      <c r="B66" t="s">
        <v>366</v>
      </c>
      <c r="C66">
        <v>26</v>
      </c>
      <c r="D66" t="s">
        <v>374</v>
      </c>
      <c r="E66" t="s">
        <v>368</v>
      </c>
      <c r="F66">
        <v>690.6</v>
      </c>
      <c r="G66">
        <v>12</v>
      </c>
      <c r="H66">
        <v>3.9</v>
      </c>
      <c r="I66" s="6" t="b">
        <v>1</v>
      </c>
      <c r="J66">
        <v>47</v>
      </c>
      <c r="K66" t="s">
        <v>372</v>
      </c>
    </row>
    <row r="67" spans="1:11">
      <c r="A67">
        <v>166</v>
      </c>
      <c r="B67" t="s">
        <v>362</v>
      </c>
      <c r="C67">
        <v>38</v>
      </c>
      <c r="D67" t="s">
        <v>375</v>
      </c>
      <c r="E67" t="s">
        <v>371</v>
      </c>
      <c r="F67">
        <v>440.9</v>
      </c>
      <c r="G67">
        <v>8</v>
      </c>
      <c r="H67">
        <v>3.2</v>
      </c>
      <c r="I67" s="6" t="b">
        <v>0</v>
      </c>
      <c r="J67">
        <v>24</v>
      </c>
      <c r="K67" t="s">
        <v>369</v>
      </c>
    </row>
    <row r="68" spans="1:11">
      <c r="A68">
        <v>167</v>
      </c>
      <c r="B68" t="s">
        <v>362</v>
      </c>
      <c r="C68">
        <v>32</v>
      </c>
      <c r="D68" t="s">
        <v>363</v>
      </c>
      <c r="E68" t="s">
        <v>364</v>
      </c>
      <c r="F68">
        <v>1160.3</v>
      </c>
      <c r="G68">
        <v>14</v>
      </c>
      <c r="H68">
        <v>4.4</v>
      </c>
      <c r="I68" s="6" t="b">
        <v>1</v>
      </c>
      <c r="J68">
        <v>22</v>
      </c>
      <c r="K68" t="s">
        <v>365</v>
      </c>
    </row>
    <row r="69" spans="1:11">
      <c r="A69">
        <v>168</v>
      </c>
      <c r="B69" t="s">
        <v>366</v>
      </c>
      <c r="C69">
        <v>34</v>
      </c>
      <c r="D69" t="s">
        <v>367</v>
      </c>
      <c r="E69" t="s">
        <v>368</v>
      </c>
      <c r="F69">
        <v>800.2</v>
      </c>
      <c r="G69">
        <v>11</v>
      </c>
      <c r="H69">
        <v>4.1</v>
      </c>
      <c r="I69" s="6" t="b">
        <v>0</v>
      </c>
      <c r="J69">
        <v>17</v>
      </c>
      <c r="K69" t="s">
        <v>369</v>
      </c>
    </row>
    <row r="70" spans="1:11">
      <c r="A70">
        <v>169</v>
      </c>
      <c r="B70" t="s">
        <v>362</v>
      </c>
      <c r="C70">
        <v>43</v>
      </c>
      <c r="D70" t="s">
        <v>370</v>
      </c>
      <c r="E70" t="s">
        <v>371</v>
      </c>
      <c r="F70">
        <v>500.75</v>
      </c>
      <c r="G70">
        <v>10</v>
      </c>
      <c r="H70">
        <v>3.3</v>
      </c>
      <c r="I70" s="6" t="b">
        <v>1</v>
      </c>
      <c r="J70">
        <v>40</v>
      </c>
      <c r="K70" t="s">
        <v>372</v>
      </c>
    </row>
    <row r="71" spans="1:11">
      <c r="A71">
        <v>170</v>
      </c>
      <c r="B71" t="s">
        <v>366</v>
      </c>
      <c r="C71">
        <v>30</v>
      </c>
      <c r="D71" t="s">
        <v>373</v>
      </c>
      <c r="E71" t="s">
        <v>364</v>
      </c>
      <c r="F71">
        <v>1460.5</v>
      </c>
      <c r="G71">
        <v>20</v>
      </c>
      <c r="H71">
        <v>4.8</v>
      </c>
      <c r="I71" s="6" t="b">
        <v>0</v>
      </c>
      <c r="J71">
        <v>12</v>
      </c>
      <c r="K71" t="s">
        <v>365</v>
      </c>
    </row>
    <row r="72" spans="1:11">
      <c r="A72">
        <v>171</v>
      </c>
      <c r="B72" t="s">
        <v>366</v>
      </c>
      <c r="C72">
        <v>27</v>
      </c>
      <c r="D72" t="s">
        <v>374</v>
      </c>
      <c r="E72" t="s">
        <v>368</v>
      </c>
      <c r="F72">
        <v>700.4</v>
      </c>
      <c r="G72">
        <v>13</v>
      </c>
      <c r="H72">
        <v>4</v>
      </c>
      <c r="I72" s="6" t="b">
        <v>1</v>
      </c>
      <c r="J72">
        <v>53</v>
      </c>
      <c r="K72" t="s">
        <v>372</v>
      </c>
    </row>
    <row r="73" spans="1:11">
      <c r="A73">
        <v>172</v>
      </c>
      <c r="B73" t="s">
        <v>362</v>
      </c>
      <c r="C73">
        <v>37</v>
      </c>
      <c r="D73" t="s">
        <v>375</v>
      </c>
      <c r="E73" t="s">
        <v>371</v>
      </c>
      <c r="F73">
        <v>420.8</v>
      </c>
      <c r="G73">
        <v>7</v>
      </c>
      <c r="H73">
        <v>3.1</v>
      </c>
      <c r="I73" s="6" t="b">
        <v>0</v>
      </c>
      <c r="J73">
        <v>21</v>
      </c>
      <c r="K73" t="s">
        <v>376</v>
      </c>
    </row>
    <row r="74" spans="1:11">
      <c r="A74">
        <v>173</v>
      </c>
      <c r="B74" t="s">
        <v>362</v>
      </c>
      <c r="C74">
        <v>31</v>
      </c>
      <c r="D74" t="s">
        <v>363</v>
      </c>
      <c r="E74" t="s">
        <v>364</v>
      </c>
      <c r="F74">
        <v>1130.6</v>
      </c>
      <c r="G74">
        <v>15</v>
      </c>
      <c r="H74">
        <v>4.5</v>
      </c>
      <c r="I74" s="6" t="b">
        <v>1</v>
      </c>
      <c r="J74">
        <v>26</v>
      </c>
      <c r="K74" t="s">
        <v>365</v>
      </c>
    </row>
    <row r="75" spans="1:11">
      <c r="A75">
        <v>174</v>
      </c>
      <c r="B75" t="s">
        <v>366</v>
      </c>
      <c r="C75">
        <v>35</v>
      </c>
      <c r="D75" t="s">
        <v>367</v>
      </c>
      <c r="E75" t="s">
        <v>368</v>
      </c>
      <c r="F75">
        <v>820.9</v>
      </c>
      <c r="G75">
        <v>12</v>
      </c>
      <c r="H75">
        <v>4.3</v>
      </c>
      <c r="I75" s="6" t="b">
        <v>0</v>
      </c>
      <c r="J75">
        <v>12</v>
      </c>
      <c r="K75" t="s">
        <v>369</v>
      </c>
    </row>
    <row r="76" spans="1:11">
      <c r="A76">
        <v>175</v>
      </c>
      <c r="B76" t="s">
        <v>362</v>
      </c>
      <c r="C76">
        <v>41</v>
      </c>
      <c r="D76" t="s">
        <v>370</v>
      </c>
      <c r="E76" t="s">
        <v>371</v>
      </c>
      <c r="F76">
        <v>480.25</v>
      </c>
      <c r="G76">
        <v>9</v>
      </c>
      <c r="H76">
        <v>3.6</v>
      </c>
      <c r="I76" s="6" t="b">
        <v>1</v>
      </c>
      <c r="J76">
        <v>38</v>
      </c>
      <c r="K76" t="s">
        <v>372</v>
      </c>
    </row>
    <row r="77" spans="1:11">
      <c r="A77">
        <v>176</v>
      </c>
      <c r="B77" t="s">
        <v>366</v>
      </c>
      <c r="C77">
        <v>28</v>
      </c>
      <c r="D77" t="s">
        <v>373</v>
      </c>
      <c r="E77" t="s">
        <v>364</v>
      </c>
      <c r="F77">
        <v>1490.1</v>
      </c>
      <c r="G77">
        <v>21</v>
      </c>
      <c r="H77">
        <v>4.9</v>
      </c>
      <c r="I77" s="6" t="b">
        <v>0</v>
      </c>
      <c r="J77">
        <v>9</v>
      </c>
      <c r="K77" t="s">
        <v>365</v>
      </c>
    </row>
    <row r="78" spans="1:11">
      <c r="A78">
        <v>177</v>
      </c>
      <c r="B78" t="s">
        <v>366</v>
      </c>
      <c r="C78">
        <v>32</v>
      </c>
      <c r="D78" t="s">
        <v>374</v>
      </c>
      <c r="E78" t="s">
        <v>368</v>
      </c>
      <c r="F78">
        <v>680.3</v>
      </c>
      <c r="G78">
        <v>10</v>
      </c>
      <c r="H78">
        <v>3.8</v>
      </c>
      <c r="I78" s="6" t="b">
        <v>1</v>
      </c>
      <c r="J78">
        <v>32</v>
      </c>
      <c r="K78" t="s">
        <v>372</v>
      </c>
    </row>
    <row r="79" spans="1:11">
      <c r="A79">
        <v>178</v>
      </c>
      <c r="B79" t="s">
        <v>362</v>
      </c>
      <c r="C79">
        <v>36</v>
      </c>
      <c r="D79" t="s">
        <v>375</v>
      </c>
      <c r="E79" t="s">
        <v>371</v>
      </c>
      <c r="F79">
        <v>470.5</v>
      </c>
      <c r="G79">
        <v>8</v>
      </c>
      <c r="H79">
        <v>3</v>
      </c>
      <c r="I79" s="6" t="b">
        <v>0</v>
      </c>
      <c r="J79">
        <v>18</v>
      </c>
      <c r="K79" t="s">
        <v>369</v>
      </c>
    </row>
    <row r="80" spans="1:11">
      <c r="A80">
        <v>179</v>
      </c>
      <c r="B80" t="s">
        <v>362</v>
      </c>
      <c r="C80">
        <v>30</v>
      </c>
      <c r="D80" t="s">
        <v>363</v>
      </c>
      <c r="E80" t="s">
        <v>364</v>
      </c>
      <c r="F80">
        <v>1180.8</v>
      </c>
      <c r="G80">
        <v>16</v>
      </c>
      <c r="H80">
        <v>4.7</v>
      </c>
      <c r="I80" s="6" t="b">
        <v>1</v>
      </c>
      <c r="J80">
        <v>19</v>
      </c>
      <c r="K80" t="s">
        <v>365</v>
      </c>
    </row>
    <row r="81" spans="1:11">
      <c r="A81">
        <v>180</v>
      </c>
      <c r="B81" t="s">
        <v>366</v>
      </c>
      <c r="C81">
        <v>34</v>
      </c>
      <c r="D81" t="s">
        <v>367</v>
      </c>
      <c r="E81" t="s">
        <v>368</v>
      </c>
      <c r="F81">
        <v>790.2</v>
      </c>
      <c r="G81">
        <v>11</v>
      </c>
      <c r="H81">
        <v>4</v>
      </c>
      <c r="I81" s="6" t="b">
        <v>0</v>
      </c>
      <c r="J81">
        <v>15</v>
      </c>
      <c r="K81" t="s">
        <v>369</v>
      </c>
    </row>
    <row r="82" spans="1:11">
      <c r="A82">
        <v>181</v>
      </c>
      <c r="B82" t="s">
        <v>362</v>
      </c>
      <c r="C82">
        <v>43</v>
      </c>
      <c r="D82" t="s">
        <v>370</v>
      </c>
      <c r="E82" t="s">
        <v>371</v>
      </c>
      <c r="F82">
        <v>505.75</v>
      </c>
      <c r="G82">
        <v>10</v>
      </c>
      <c r="H82">
        <v>3.3</v>
      </c>
      <c r="I82" s="6" t="b">
        <v>1</v>
      </c>
      <c r="J82">
        <v>39</v>
      </c>
      <c r="K82" t="s">
        <v>372</v>
      </c>
    </row>
    <row r="83" spans="1:11">
      <c r="A83">
        <v>182</v>
      </c>
      <c r="B83" t="s">
        <v>366</v>
      </c>
      <c r="C83">
        <v>30</v>
      </c>
      <c r="D83" t="s">
        <v>373</v>
      </c>
      <c r="E83" t="s">
        <v>364</v>
      </c>
      <c r="F83">
        <v>1470.5</v>
      </c>
      <c r="G83">
        <v>20</v>
      </c>
      <c r="H83">
        <v>4.8</v>
      </c>
      <c r="I83" s="6" t="b">
        <v>0</v>
      </c>
      <c r="J83">
        <v>13</v>
      </c>
      <c r="K83" t="s">
        <v>365</v>
      </c>
    </row>
    <row r="84" spans="1:11">
      <c r="A84">
        <v>183</v>
      </c>
      <c r="B84" t="s">
        <v>366</v>
      </c>
      <c r="C84">
        <v>27</v>
      </c>
      <c r="D84" t="s">
        <v>374</v>
      </c>
      <c r="E84" t="s">
        <v>368</v>
      </c>
      <c r="F84">
        <v>710.4</v>
      </c>
      <c r="G84">
        <v>13</v>
      </c>
      <c r="H84">
        <v>4.1</v>
      </c>
      <c r="I84" s="6" t="b">
        <v>1</v>
      </c>
      <c r="J84">
        <v>54</v>
      </c>
      <c r="K84" t="s">
        <v>372</v>
      </c>
    </row>
    <row r="85" spans="1:11">
      <c r="A85">
        <v>184</v>
      </c>
      <c r="B85" t="s">
        <v>362</v>
      </c>
      <c r="C85">
        <v>37</v>
      </c>
      <c r="D85" t="s">
        <v>375</v>
      </c>
      <c r="E85" t="s">
        <v>371</v>
      </c>
      <c r="F85">
        <v>430.8</v>
      </c>
      <c r="G85">
        <v>7</v>
      </c>
      <c r="H85">
        <v>3.4</v>
      </c>
      <c r="I85" s="6" t="b">
        <v>0</v>
      </c>
      <c r="J85">
        <v>23</v>
      </c>
      <c r="K85" t="s">
        <v>369</v>
      </c>
    </row>
    <row r="86" spans="1:11">
      <c r="A86">
        <v>185</v>
      </c>
      <c r="B86" t="s">
        <v>362</v>
      </c>
      <c r="C86">
        <v>31</v>
      </c>
      <c r="D86" t="s">
        <v>363</v>
      </c>
      <c r="E86" t="s">
        <v>364</v>
      </c>
      <c r="F86">
        <v>1140.6</v>
      </c>
      <c r="G86">
        <v>15</v>
      </c>
      <c r="H86">
        <v>4.6</v>
      </c>
      <c r="I86" s="6" t="b">
        <v>1</v>
      </c>
      <c r="J86">
        <v>27</v>
      </c>
      <c r="K86" t="s">
        <v>365</v>
      </c>
    </row>
    <row r="87" spans="1:11">
      <c r="A87">
        <v>186</v>
      </c>
      <c r="B87" t="s">
        <v>366</v>
      </c>
      <c r="C87">
        <v>35</v>
      </c>
      <c r="D87" t="s">
        <v>367</v>
      </c>
      <c r="E87" t="s">
        <v>368</v>
      </c>
      <c r="F87">
        <v>810.9</v>
      </c>
      <c r="G87">
        <v>12</v>
      </c>
      <c r="H87">
        <v>4.3</v>
      </c>
      <c r="I87" s="6" t="b">
        <v>0</v>
      </c>
      <c r="J87">
        <v>13</v>
      </c>
      <c r="K87" t="s">
        <v>369</v>
      </c>
    </row>
    <row r="88" spans="1:11">
      <c r="A88">
        <v>187</v>
      </c>
      <c r="B88" t="s">
        <v>362</v>
      </c>
      <c r="C88">
        <v>41</v>
      </c>
      <c r="D88" t="s">
        <v>370</v>
      </c>
      <c r="E88" t="s">
        <v>371</v>
      </c>
      <c r="F88">
        <v>485.25</v>
      </c>
      <c r="G88">
        <v>9</v>
      </c>
      <c r="H88">
        <v>3.6</v>
      </c>
      <c r="I88" s="6" t="b">
        <v>1</v>
      </c>
      <c r="J88">
        <v>39</v>
      </c>
      <c r="K88" t="s">
        <v>372</v>
      </c>
    </row>
    <row r="89" spans="1:11">
      <c r="A89">
        <v>188</v>
      </c>
      <c r="B89" t="s">
        <v>366</v>
      </c>
      <c r="C89">
        <v>28</v>
      </c>
      <c r="D89" t="s">
        <v>373</v>
      </c>
      <c r="E89" t="s">
        <v>364</v>
      </c>
      <c r="F89">
        <v>1500.1</v>
      </c>
      <c r="G89">
        <v>21</v>
      </c>
      <c r="H89">
        <v>4.9</v>
      </c>
      <c r="I89" s="6" t="b">
        <v>0</v>
      </c>
      <c r="J89">
        <v>10</v>
      </c>
      <c r="K89" t="s">
        <v>365</v>
      </c>
    </row>
    <row r="90" spans="1:11">
      <c r="A90">
        <v>189</v>
      </c>
      <c r="B90" t="s">
        <v>366</v>
      </c>
      <c r="C90">
        <v>32</v>
      </c>
      <c r="D90" t="s">
        <v>374</v>
      </c>
      <c r="E90" t="s">
        <v>368</v>
      </c>
      <c r="F90">
        <v>670.3</v>
      </c>
      <c r="G90">
        <v>10</v>
      </c>
      <c r="H90">
        <v>3.8</v>
      </c>
      <c r="I90" s="6" t="b">
        <v>1</v>
      </c>
      <c r="J90">
        <v>33</v>
      </c>
      <c r="K90" t="s">
        <v>372</v>
      </c>
    </row>
    <row r="91" spans="1:11">
      <c r="A91">
        <v>190</v>
      </c>
      <c r="B91" t="s">
        <v>362</v>
      </c>
      <c r="C91">
        <v>36</v>
      </c>
      <c r="D91" t="s">
        <v>375</v>
      </c>
      <c r="E91" t="s">
        <v>371</v>
      </c>
      <c r="F91">
        <v>460.5</v>
      </c>
      <c r="G91">
        <v>8</v>
      </c>
      <c r="H91">
        <v>3.1</v>
      </c>
      <c r="I91" s="6" t="b">
        <v>0</v>
      </c>
      <c r="J91">
        <v>19</v>
      </c>
      <c r="K91" t="s">
        <v>369</v>
      </c>
    </row>
    <row r="92" spans="1:11">
      <c r="A92">
        <v>191</v>
      </c>
      <c r="B92" t="s">
        <v>362</v>
      </c>
      <c r="C92">
        <v>30</v>
      </c>
      <c r="D92" t="s">
        <v>363</v>
      </c>
      <c r="E92" t="s">
        <v>364</v>
      </c>
      <c r="F92">
        <v>1190.8</v>
      </c>
      <c r="G92">
        <v>16</v>
      </c>
      <c r="H92">
        <v>4.5</v>
      </c>
      <c r="I92" s="6" t="b">
        <v>1</v>
      </c>
      <c r="J92">
        <v>20</v>
      </c>
      <c r="K92" t="s">
        <v>365</v>
      </c>
    </row>
    <row r="93" spans="1:11">
      <c r="A93">
        <v>192</v>
      </c>
      <c r="B93" t="s">
        <v>366</v>
      </c>
      <c r="C93">
        <v>33</v>
      </c>
      <c r="D93" t="s">
        <v>367</v>
      </c>
      <c r="E93" t="s">
        <v>368</v>
      </c>
      <c r="F93">
        <v>830.75</v>
      </c>
      <c r="G93">
        <v>13</v>
      </c>
      <c r="H93">
        <v>4.2</v>
      </c>
      <c r="I93" s="6" t="b">
        <v>0</v>
      </c>
      <c r="J93">
        <v>14</v>
      </c>
      <c r="K93" t="s">
        <v>365</v>
      </c>
    </row>
    <row r="94" spans="1:11">
      <c r="A94">
        <v>193</v>
      </c>
      <c r="B94" t="s">
        <v>362</v>
      </c>
      <c r="C94">
        <v>42</v>
      </c>
      <c r="D94" t="s">
        <v>370</v>
      </c>
      <c r="E94" t="s">
        <v>371</v>
      </c>
      <c r="F94">
        <v>520.4</v>
      </c>
      <c r="G94">
        <v>9</v>
      </c>
      <c r="H94">
        <v>3.5</v>
      </c>
      <c r="I94" s="6" t="b">
        <v>1</v>
      </c>
      <c r="J94">
        <v>37</v>
      </c>
      <c r="K94" t="s">
        <v>372</v>
      </c>
    </row>
    <row r="95" spans="1:11">
      <c r="A95">
        <v>194</v>
      </c>
      <c r="B95" t="s">
        <v>366</v>
      </c>
      <c r="C95">
        <v>29</v>
      </c>
      <c r="D95" t="s">
        <v>373</v>
      </c>
      <c r="E95" t="s">
        <v>364</v>
      </c>
      <c r="F95">
        <v>1370.2</v>
      </c>
      <c r="G95">
        <v>18</v>
      </c>
      <c r="H95">
        <v>4.7</v>
      </c>
      <c r="I95" s="6" t="b">
        <v>0</v>
      </c>
      <c r="J95">
        <v>10</v>
      </c>
      <c r="K95" t="s">
        <v>365</v>
      </c>
    </row>
    <row r="96" spans="1:11">
      <c r="A96">
        <v>195</v>
      </c>
      <c r="B96" t="s">
        <v>366</v>
      </c>
      <c r="C96">
        <v>26</v>
      </c>
      <c r="D96" t="s">
        <v>374</v>
      </c>
      <c r="E96" t="s">
        <v>368</v>
      </c>
      <c r="F96">
        <v>690.6</v>
      </c>
      <c r="G96">
        <v>12</v>
      </c>
      <c r="H96">
        <v>3.9</v>
      </c>
      <c r="I96" s="6" t="b">
        <v>1</v>
      </c>
      <c r="J96">
        <v>47</v>
      </c>
      <c r="K96" t="s">
        <v>372</v>
      </c>
    </row>
    <row r="97" spans="1:11">
      <c r="A97">
        <v>196</v>
      </c>
      <c r="B97" t="s">
        <v>362</v>
      </c>
      <c r="C97">
        <v>38</v>
      </c>
      <c r="D97" t="s">
        <v>375</v>
      </c>
      <c r="E97" t="s">
        <v>371</v>
      </c>
      <c r="F97">
        <v>440.9</v>
      </c>
      <c r="G97">
        <v>8</v>
      </c>
      <c r="H97">
        <v>3.2</v>
      </c>
      <c r="I97" s="6" t="b">
        <v>0</v>
      </c>
      <c r="J97">
        <v>24</v>
      </c>
      <c r="K97" t="s">
        <v>369</v>
      </c>
    </row>
    <row r="98" spans="1:11">
      <c r="A98">
        <v>197</v>
      </c>
      <c r="B98" t="s">
        <v>362</v>
      </c>
      <c r="C98">
        <v>32</v>
      </c>
      <c r="D98" t="s">
        <v>363</v>
      </c>
      <c r="E98" t="s">
        <v>364</v>
      </c>
      <c r="F98">
        <v>1160.3</v>
      </c>
      <c r="G98">
        <v>14</v>
      </c>
      <c r="H98">
        <v>4.4</v>
      </c>
      <c r="I98" s="6" t="b">
        <v>1</v>
      </c>
      <c r="J98">
        <v>22</v>
      </c>
      <c r="K98" t="s">
        <v>365</v>
      </c>
    </row>
    <row r="99" spans="1:11">
      <c r="A99">
        <v>198</v>
      </c>
      <c r="B99" t="s">
        <v>366</v>
      </c>
      <c r="C99">
        <v>34</v>
      </c>
      <c r="D99" t="s">
        <v>367</v>
      </c>
      <c r="E99" t="s">
        <v>368</v>
      </c>
      <c r="F99">
        <v>800.2</v>
      </c>
      <c r="G99">
        <v>11</v>
      </c>
      <c r="H99">
        <v>4.1</v>
      </c>
      <c r="I99" s="6" t="b">
        <v>0</v>
      </c>
      <c r="J99">
        <v>17</v>
      </c>
      <c r="K99" t="s">
        <v>369</v>
      </c>
    </row>
    <row r="100" spans="1:11">
      <c r="A100">
        <v>199</v>
      </c>
      <c r="B100" t="s">
        <v>362</v>
      </c>
      <c r="C100">
        <v>43</v>
      </c>
      <c r="D100" t="s">
        <v>370</v>
      </c>
      <c r="E100" t="s">
        <v>371</v>
      </c>
      <c r="F100">
        <v>500.75</v>
      </c>
      <c r="G100">
        <v>10</v>
      </c>
      <c r="H100">
        <v>3.3</v>
      </c>
      <c r="I100" s="6" t="b">
        <v>1</v>
      </c>
      <c r="J100">
        <v>40</v>
      </c>
      <c r="K100" t="s">
        <v>372</v>
      </c>
    </row>
    <row r="101" spans="1:11">
      <c r="A101">
        <v>200</v>
      </c>
      <c r="B101" t="s">
        <v>366</v>
      </c>
      <c r="C101">
        <v>30</v>
      </c>
      <c r="D101" t="s">
        <v>373</v>
      </c>
      <c r="E101" t="s">
        <v>364</v>
      </c>
      <c r="F101">
        <v>1460.5</v>
      </c>
      <c r="G101">
        <v>20</v>
      </c>
      <c r="H101">
        <v>4.8</v>
      </c>
      <c r="I101" s="6" t="b">
        <v>0</v>
      </c>
      <c r="J101">
        <v>12</v>
      </c>
      <c r="K101" t="s">
        <v>365</v>
      </c>
    </row>
    <row r="102" spans="1:11">
      <c r="A102">
        <v>201</v>
      </c>
      <c r="B102" t="s">
        <v>366</v>
      </c>
      <c r="C102">
        <v>27</v>
      </c>
      <c r="D102" t="s">
        <v>374</v>
      </c>
      <c r="E102" t="s">
        <v>368</v>
      </c>
      <c r="F102">
        <v>700.4</v>
      </c>
      <c r="G102">
        <v>13</v>
      </c>
      <c r="H102">
        <v>4</v>
      </c>
      <c r="I102" s="6" t="b">
        <v>1</v>
      </c>
      <c r="J102">
        <v>53</v>
      </c>
      <c r="K102" t="s">
        <v>372</v>
      </c>
    </row>
    <row r="103" spans="1:11">
      <c r="A103">
        <v>202</v>
      </c>
      <c r="B103" t="s">
        <v>362</v>
      </c>
      <c r="C103">
        <v>37</v>
      </c>
      <c r="D103" t="s">
        <v>375</v>
      </c>
      <c r="E103" t="s">
        <v>371</v>
      </c>
      <c r="F103">
        <v>420.8</v>
      </c>
      <c r="G103">
        <v>7</v>
      </c>
      <c r="H103">
        <v>3.1</v>
      </c>
      <c r="I103" s="6" t="b">
        <v>0</v>
      </c>
      <c r="J103">
        <v>21</v>
      </c>
      <c r="K103" t="s">
        <v>369</v>
      </c>
    </row>
    <row r="104" spans="1:11">
      <c r="A104">
        <v>203</v>
      </c>
      <c r="B104" t="s">
        <v>362</v>
      </c>
      <c r="C104">
        <v>31</v>
      </c>
      <c r="D104" t="s">
        <v>363</v>
      </c>
      <c r="E104" t="s">
        <v>364</v>
      </c>
      <c r="F104">
        <v>1130.6</v>
      </c>
      <c r="G104">
        <v>15</v>
      </c>
      <c r="H104">
        <v>4.5</v>
      </c>
      <c r="I104" s="6" t="b">
        <v>1</v>
      </c>
      <c r="J104">
        <v>26</v>
      </c>
      <c r="K104" t="s">
        <v>365</v>
      </c>
    </row>
    <row r="105" spans="1:11">
      <c r="A105">
        <v>204</v>
      </c>
      <c r="B105" t="s">
        <v>366</v>
      </c>
      <c r="C105">
        <v>35</v>
      </c>
      <c r="D105" t="s">
        <v>367</v>
      </c>
      <c r="E105" t="s">
        <v>368</v>
      </c>
      <c r="F105">
        <v>820.9</v>
      </c>
      <c r="G105">
        <v>12</v>
      </c>
      <c r="H105">
        <v>4.3</v>
      </c>
      <c r="I105" s="6" t="b">
        <v>0</v>
      </c>
      <c r="J105">
        <v>12</v>
      </c>
      <c r="K105" t="s">
        <v>369</v>
      </c>
    </row>
    <row r="106" spans="1:11">
      <c r="A106">
        <v>205</v>
      </c>
      <c r="B106" t="s">
        <v>362</v>
      </c>
      <c r="C106">
        <v>41</v>
      </c>
      <c r="D106" t="s">
        <v>370</v>
      </c>
      <c r="E106" t="s">
        <v>371</v>
      </c>
      <c r="F106">
        <v>480.25</v>
      </c>
      <c r="G106">
        <v>9</v>
      </c>
      <c r="H106">
        <v>3.6</v>
      </c>
      <c r="I106" s="6" t="b">
        <v>1</v>
      </c>
      <c r="J106">
        <v>38</v>
      </c>
      <c r="K106" t="s">
        <v>372</v>
      </c>
    </row>
    <row r="107" spans="1:11">
      <c r="A107">
        <v>206</v>
      </c>
      <c r="B107" t="s">
        <v>366</v>
      </c>
      <c r="C107">
        <v>28</v>
      </c>
      <c r="D107" t="s">
        <v>373</v>
      </c>
      <c r="E107" t="s">
        <v>364</v>
      </c>
      <c r="F107">
        <v>1490.1</v>
      </c>
      <c r="G107">
        <v>21</v>
      </c>
      <c r="H107">
        <v>4.9</v>
      </c>
      <c r="I107" s="6" t="b">
        <v>0</v>
      </c>
      <c r="J107">
        <v>9</v>
      </c>
      <c r="K107" t="s">
        <v>365</v>
      </c>
    </row>
    <row r="108" spans="1:11">
      <c r="A108">
        <v>207</v>
      </c>
      <c r="B108" t="s">
        <v>366</v>
      </c>
      <c r="C108">
        <v>32</v>
      </c>
      <c r="D108" t="s">
        <v>374</v>
      </c>
      <c r="E108" t="s">
        <v>368</v>
      </c>
      <c r="F108">
        <v>680.3</v>
      </c>
      <c r="G108">
        <v>10</v>
      </c>
      <c r="H108">
        <v>3.8</v>
      </c>
      <c r="I108" s="6" t="b">
        <v>1</v>
      </c>
      <c r="J108">
        <v>32</v>
      </c>
      <c r="K108" t="s">
        <v>372</v>
      </c>
    </row>
    <row r="109" spans="1:11">
      <c r="A109">
        <v>208</v>
      </c>
      <c r="B109" t="s">
        <v>362</v>
      </c>
      <c r="C109">
        <v>36</v>
      </c>
      <c r="D109" t="s">
        <v>375</v>
      </c>
      <c r="E109" t="s">
        <v>371</v>
      </c>
      <c r="F109">
        <v>470.5</v>
      </c>
      <c r="G109">
        <v>8</v>
      </c>
      <c r="H109">
        <v>3</v>
      </c>
      <c r="I109" s="6" t="b">
        <v>0</v>
      </c>
      <c r="J109">
        <v>18</v>
      </c>
      <c r="K109" t="s">
        <v>369</v>
      </c>
    </row>
    <row r="110" spans="1:11">
      <c r="A110">
        <v>209</v>
      </c>
      <c r="B110" t="s">
        <v>362</v>
      </c>
      <c r="C110">
        <v>30</v>
      </c>
      <c r="D110" t="s">
        <v>363</v>
      </c>
      <c r="E110" t="s">
        <v>364</v>
      </c>
      <c r="F110">
        <v>1180.8</v>
      </c>
      <c r="G110">
        <v>16</v>
      </c>
      <c r="H110">
        <v>4.7</v>
      </c>
      <c r="I110" s="6" t="b">
        <v>1</v>
      </c>
      <c r="J110">
        <v>19</v>
      </c>
      <c r="K110" t="s">
        <v>365</v>
      </c>
    </row>
    <row r="111" spans="1:11">
      <c r="A111">
        <v>210</v>
      </c>
      <c r="B111" t="s">
        <v>366</v>
      </c>
      <c r="C111">
        <v>34</v>
      </c>
      <c r="D111" t="s">
        <v>367</v>
      </c>
      <c r="E111" t="s">
        <v>368</v>
      </c>
      <c r="F111">
        <v>790.2</v>
      </c>
      <c r="G111">
        <v>11</v>
      </c>
      <c r="H111">
        <v>4</v>
      </c>
      <c r="I111" s="6" t="b">
        <v>0</v>
      </c>
      <c r="J111">
        <v>15</v>
      </c>
      <c r="K111" t="s">
        <v>369</v>
      </c>
    </row>
    <row r="112" spans="1:11">
      <c r="A112">
        <v>211</v>
      </c>
      <c r="B112" t="s">
        <v>362</v>
      </c>
      <c r="C112">
        <v>43</v>
      </c>
      <c r="D112" t="s">
        <v>370</v>
      </c>
      <c r="E112" t="s">
        <v>371</v>
      </c>
      <c r="F112">
        <v>505.75</v>
      </c>
      <c r="G112">
        <v>10</v>
      </c>
      <c r="H112">
        <v>3.3</v>
      </c>
      <c r="I112" s="6" t="b">
        <v>1</v>
      </c>
      <c r="J112">
        <v>39</v>
      </c>
      <c r="K112" t="s">
        <v>372</v>
      </c>
    </row>
    <row r="113" spans="1:11">
      <c r="A113">
        <v>212</v>
      </c>
      <c r="B113" t="s">
        <v>366</v>
      </c>
      <c r="C113">
        <v>30</v>
      </c>
      <c r="D113" t="s">
        <v>373</v>
      </c>
      <c r="E113" t="s">
        <v>364</v>
      </c>
      <c r="F113">
        <v>1470.5</v>
      </c>
      <c r="G113">
        <v>20</v>
      </c>
      <c r="H113">
        <v>4.8</v>
      </c>
      <c r="I113" s="6" t="b">
        <v>0</v>
      </c>
      <c r="J113">
        <v>13</v>
      </c>
      <c r="K113" t="s">
        <v>365</v>
      </c>
    </row>
    <row r="114" spans="1:11">
      <c r="A114">
        <v>213</v>
      </c>
      <c r="B114" t="s">
        <v>366</v>
      </c>
      <c r="C114">
        <v>27</v>
      </c>
      <c r="D114" t="s">
        <v>374</v>
      </c>
      <c r="E114" t="s">
        <v>368</v>
      </c>
      <c r="F114">
        <v>710.4</v>
      </c>
      <c r="G114">
        <v>13</v>
      </c>
      <c r="H114">
        <v>4.1</v>
      </c>
      <c r="I114" s="6" t="b">
        <v>1</v>
      </c>
      <c r="J114">
        <v>54</v>
      </c>
      <c r="K114" t="s">
        <v>372</v>
      </c>
    </row>
    <row r="115" spans="1:11">
      <c r="A115">
        <v>214</v>
      </c>
      <c r="B115" t="s">
        <v>362</v>
      </c>
      <c r="C115">
        <v>37</v>
      </c>
      <c r="D115" t="s">
        <v>375</v>
      </c>
      <c r="E115" t="s">
        <v>371</v>
      </c>
      <c r="F115">
        <v>430.8</v>
      </c>
      <c r="G115">
        <v>7</v>
      </c>
      <c r="H115">
        <v>3.4</v>
      </c>
      <c r="I115" s="6" t="b">
        <v>0</v>
      </c>
      <c r="J115">
        <v>23</v>
      </c>
      <c r="K115" t="s">
        <v>369</v>
      </c>
    </row>
    <row r="116" spans="1:11">
      <c r="A116">
        <v>215</v>
      </c>
      <c r="B116" t="s">
        <v>362</v>
      </c>
      <c r="C116">
        <v>31</v>
      </c>
      <c r="D116" t="s">
        <v>363</v>
      </c>
      <c r="E116" t="s">
        <v>364</v>
      </c>
      <c r="F116">
        <v>1140.6</v>
      </c>
      <c r="G116">
        <v>15</v>
      </c>
      <c r="H116">
        <v>4.6</v>
      </c>
      <c r="I116" s="6" t="b">
        <v>1</v>
      </c>
      <c r="J116">
        <v>27</v>
      </c>
      <c r="K116" t="s">
        <v>365</v>
      </c>
    </row>
    <row r="117" spans="1:11">
      <c r="A117">
        <v>216</v>
      </c>
      <c r="B117" t="s">
        <v>366</v>
      </c>
      <c r="C117">
        <v>35</v>
      </c>
      <c r="D117" t="s">
        <v>367</v>
      </c>
      <c r="E117" t="s">
        <v>368</v>
      </c>
      <c r="F117">
        <v>810.9</v>
      </c>
      <c r="G117">
        <v>12</v>
      </c>
      <c r="H117">
        <v>4.3</v>
      </c>
      <c r="I117" s="6" t="b">
        <v>0</v>
      </c>
      <c r="J117">
        <v>13</v>
      </c>
      <c r="K117" t="s">
        <v>369</v>
      </c>
    </row>
    <row r="118" spans="1:11">
      <c r="A118">
        <v>217</v>
      </c>
      <c r="B118" t="s">
        <v>362</v>
      </c>
      <c r="C118">
        <v>41</v>
      </c>
      <c r="D118" t="s">
        <v>370</v>
      </c>
      <c r="E118" t="s">
        <v>371</v>
      </c>
      <c r="F118">
        <v>485.25</v>
      </c>
      <c r="G118">
        <v>9</v>
      </c>
      <c r="H118">
        <v>3.6</v>
      </c>
      <c r="I118" s="6" t="b">
        <v>1</v>
      </c>
      <c r="J118">
        <v>39</v>
      </c>
      <c r="K118" t="s">
        <v>372</v>
      </c>
    </row>
    <row r="119" spans="1:11">
      <c r="A119">
        <v>218</v>
      </c>
      <c r="B119" t="s">
        <v>366</v>
      </c>
      <c r="C119">
        <v>28</v>
      </c>
      <c r="D119" t="s">
        <v>373</v>
      </c>
      <c r="E119" t="s">
        <v>364</v>
      </c>
      <c r="F119">
        <v>1500.1</v>
      </c>
      <c r="G119">
        <v>21</v>
      </c>
      <c r="H119">
        <v>4.9</v>
      </c>
      <c r="I119" s="6" t="b">
        <v>0</v>
      </c>
      <c r="J119">
        <v>10</v>
      </c>
      <c r="K119" t="s">
        <v>365</v>
      </c>
    </row>
    <row r="120" spans="1:11">
      <c r="A120">
        <v>219</v>
      </c>
      <c r="B120" t="s">
        <v>366</v>
      </c>
      <c r="C120">
        <v>32</v>
      </c>
      <c r="D120" t="s">
        <v>374</v>
      </c>
      <c r="E120" t="s">
        <v>368</v>
      </c>
      <c r="F120">
        <v>670.3</v>
      </c>
      <c r="G120">
        <v>10</v>
      </c>
      <c r="H120">
        <v>3.8</v>
      </c>
      <c r="I120" s="6" t="b">
        <v>1</v>
      </c>
      <c r="J120">
        <v>33</v>
      </c>
      <c r="K120" t="s">
        <v>372</v>
      </c>
    </row>
    <row r="121" spans="1:11">
      <c r="A121">
        <v>220</v>
      </c>
      <c r="B121" t="s">
        <v>362</v>
      </c>
      <c r="C121">
        <v>36</v>
      </c>
      <c r="D121" t="s">
        <v>375</v>
      </c>
      <c r="E121" t="s">
        <v>371</v>
      </c>
      <c r="F121">
        <v>460.5</v>
      </c>
      <c r="G121">
        <v>8</v>
      </c>
      <c r="H121">
        <v>3.1</v>
      </c>
      <c r="I121" s="6" t="b">
        <v>0</v>
      </c>
      <c r="J121">
        <v>19</v>
      </c>
      <c r="K121" t="s">
        <v>369</v>
      </c>
    </row>
    <row r="122" spans="1:11">
      <c r="A122">
        <v>221</v>
      </c>
      <c r="B122" t="s">
        <v>362</v>
      </c>
      <c r="C122">
        <v>30</v>
      </c>
      <c r="D122" t="s">
        <v>363</v>
      </c>
      <c r="E122" t="s">
        <v>364</v>
      </c>
      <c r="F122">
        <v>1190.8</v>
      </c>
      <c r="G122">
        <v>16</v>
      </c>
      <c r="H122">
        <v>4.5</v>
      </c>
      <c r="I122" s="6" t="b">
        <v>1</v>
      </c>
      <c r="J122">
        <v>20</v>
      </c>
      <c r="K122" t="s">
        <v>365</v>
      </c>
    </row>
    <row r="123" spans="1:11">
      <c r="A123">
        <v>222</v>
      </c>
      <c r="B123" t="s">
        <v>366</v>
      </c>
      <c r="C123">
        <v>33</v>
      </c>
      <c r="D123" t="s">
        <v>367</v>
      </c>
      <c r="E123" t="s">
        <v>368</v>
      </c>
      <c r="F123">
        <v>830.75</v>
      </c>
      <c r="G123">
        <v>13</v>
      </c>
      <c r="H123">
        <v>4.2</v>
      </c>
      <c r="I123" s="6" t="b">
        <v>0</v>
      </c>
      <c r="J123">
        <v>14</v>
      </c>
      <c r="K123" t="s">
        <v>365</v>
      </c>
    </row>
    <row r="124" spans="1:11">
      <c r="A124">
        <v>223</v>
      </c>
      <c r="B124" t="s">
        <v>362</v>
      </c>
      <c r="C124">
        <v>42</v>
      </c>
      <c r="D124" t="s">
        <v>370</v>
      </c>
      <c r="E124" t="s">
        <v>371</v>
      </c>
      <c r="F124">
        <v>520.4</v>
      </c>
      <c r="G124">
        <v>9</v>
      </c>
      <c r="H124">
        <v>3.5</v>
      </c>
      <c r="I124" s="6" t="b">
        <v>1</v>
      </c>
      <c r="J124">
        <v>37</v>
      </c>
      <c r="K124" t="s">
        <v>372</v>
      </c>
    </row>
    <row r="125" spans="1:11">
      <c r="A125">
        <v>224</v>
      </c>
      <c r="B125" t="s">
        <v>366</v>
      </c>
      <c r="C125">
        <v>29</v>
      </c>
      <c r="D125" t="s">
        <v>373</v>
      </c>
      <c r="E125" t="s">
        <v>364</v>
      </c>
      <c r="F125">
        <v>1370.2</v>
      </c>
      <c r="G125">
        <v>18</v>
      </c>
      <c r="H125">
        <v>4.7</v>
      </c>
      <c r="I125" s="6" t="b">
        <v>0</v>
      </c>
      <c r="J125">
        <v>10</v>
      </c>
      <c r="K125" t="s">
        <v>365</v>
      </c>
    </row>
    <row r="126" spans="1:11">
      <c r="A126">
        <v>225</v>
      </c>
      <c r="B126" t="s">
        <v>366</v>
      </c>
      <c r="C126">
        <v>26</v>
      </c>
      <c r="D126" t="s">
        <v>374</v>
      </c>
      <c r="E126" t="s">
        <v>368</v>
      </c>
      <c r="F126">
        <v>690.6</v>
      </c>
      <c r="G126">
        <v>12</v>
      </c>
      <c r="H126">
        <v>3.9</v>
      </c>
      <c r="I126" s="6" t="b">
        <v>1</v>
      </c>
      <c r="J126">
        <v>47</v>
      </c>
      <c r="K126" t="s">
        <v>372</v>
      </c>
    </row>
    <row r="127" spans="1:11">
      <c r="A127">
        <v>226</v>
      </c>
      <c r="B127" t="s">
        <v>362</v>
      </c>
      <c r="C127">
        <v>38</v>
      </c>
      <c r="D127" t="s">
        <v>375</v>
      </c>
      <c r="E127" t="s">
        <v>371</v>
      </c>
      <c r="F127">
        <v>440.9</v>
      </c>
      <c r="G127">
        <v>8</v>
      </c>
      <c r="H127">
        <v>3.2</v>
      </c>
      <c r="I127" s="6" t="b">
        <v>0</v>
      </c>
      <c r="J127">
        <v>24</v>
      </c>
      <c r="K127" t="s">
        <v>369</v>
      </c>
    </row>
    <row r="128" spans="1:11">
      <c r="A128">
        <v>227</v>
      </c>
      <c r="B128" t="s">
        <v>362</v>
      </c>
      <c r="C128">
        <v>32</v>
      </c>
      <c r="D128" t="s">
        <v>363</v>
      </c>
      <c r="E128" t="s">
        <v>364</v>
      </c>
      <c r="F128">
        <v>1160.3</v>
      </c>
      <c r="G128">
        <v>14</v>
      </c>
      <c r="H128">
        <v>4.4</v>
      </c>
      <c r="I128" s="6" t="b">
        <v>1</v>
      </c>
      <c r="J128">
        <v>22</v>
      </c>
      <c r="K128" t="s">
        <v>365</v>
      </c>
    </row>
    <row r="129" spans="1:11">
      <c r="A129">
        <v>228</v>
      </c>
      <c r="B129" t="s">
        <v>366</v>
      </c>
      <c r="C129">
        <v>34</v>
      </c>
      <c r="D129" t="s">
        <v>367</v>
      </c>
      <c r="E129" t="s">
        <v>368</v>
      </c>
      <c r="F129">
        <v>800.2</v>
      </c>
      <c r="G129">
        <v>11</v>
      </c>
      <c r="H129">
        <v>4.1</v>
      </c>
      <c r="I129" s="6" t="b">
        <v>0</v>
      </c>
      <c r="J129">
        <v>17</v>
      </c>
      <c r="K129" t="s">
        <v>369</v>
      </c>
    </row>
    <row r="130" spans="1:11">
      <c r="A130">
        <v>229</v>
      </c>
      <c r="B130" t="s">
        <v>362</v>
      </c>
      <c r="C130">
        <v>43</v>
      </c>
      <c r="D130" t="s">
        <v>370</v>
      </c>
      <c r="E130" t="s">
        <v>371</v>
      </c>
      <c r="F130">
        <v>500.75</v>
      </c>
      <c r="G130">
        <v>10</v>
      </c>
      <c r="H130">
        <v>3.3</v>
      </c>
      <c r="I130" s="6" t="b">
        <v>1</v>
      </c>
      <c r="J130">
        <v>40</v>
      </c>
      <c r="K130" t="s">
        <v>372</v>
      </c>
    </row>
    <row r="131" spans="1:11">
      <c r="A131">
        <v>230</v>
      </c>
      <c r="B131" t="s">
        <v>366</v>
      </c>
      <c r="C131">
        <v>30</v>
      </c>
      <c r="D131" t="s">
        <v>373</v>
      </c>
      <c r="E131" t="s">
        <v>364</v>
      </c>
      <c r="F131">
        <v>1460.5</v>
      </c>
      <c r="G131">
        <v>20</v>
      </c>
      <c r="H131">
        <v>4.8</v>
      </c>
      <c r="I131" s="6" t="b">
        <v>0</v>
      </c>
      <c r="J131">
        <v>12</v>
      </c>
      <c r="K131" t="s">
        <v>365</v>
      </c>
    </row>
    <row r="132" spans="1:11">
      <c r="A132">
        <v>231</v>
      </c>
      <c r="B132" t="s">
        <v>366</v>
      </c>
      <c r="C132">
        <v>27</v>
      </c>
      <c r="D132" t="s">
        <v>374</v>
      </c>
      <c r="E132" t="s">
        <v>368</v>
      </c>
      <c r="F132">
        <v>700.4</v>
      </c>
      <c r="G132">
        <v>13</v>
      </c>
      <c r="H132">
        <v>4</v>
      </c>
      <c r="I132" s="6" t="b">
        <v>1</v>
      </c>
      <c r="J132">
        <v>53</v>
      </c>
      <c r="K132" t="s">
        <v>372</v>
      </c>
    </row>
    <row r="133" spans="1:11">
      <c r="A133">
        <v>232</v>
      </c>
      <c r="B133" t="s">
        <v>362</v>
      </c>
      <c r="C133">
        <v>37</v>
      </c>
      <c r="D133" t="s">
        <v>375</v>
      </c>
      <c r="E133" t="s">
        <v>371</v>
      </c>
      <c r="F133">
        <v>420.8</v>
      </c>
      <c r="G133">
        <v>7</v>
      </c>
      <c r="H133">
        <v>3.1</v>
      </c>
      <c r="I133" s="6" t="b">
        <v>0</v>
      </c>
      <c r="J133">
        <v>21</v>
      </c>
      <c r="K133" t="s">
        <v>369</v>
      </c>
    </row>
    <row r="134" spans="1:11">
      <c r="A134">
        <v>233</v>
      </c>
      <c r="B134" t="s">
        <v>362</v>
      </c>
      <c r="C134">
        <v>31</v>
      </c>
      <c r="D134" t="s">
        <v>363</v>
      </c>
      <c r="E134" t="s">
        <v>364</v>
      </c>
      <c r="F134">
        <v>1130.6</v>
      </c>
      <c r="G134">
        <v>15</v>
      </c>
      <c r="H134">
        <v>4.5</v>
      </c>
      <c r="I134" s="6" t="b">
        <v>1</v>
      </c>
      <c r="J134">
        <v>26</v>
      </c>
      <c r="K134" t="s">
        <v>365</v>
      </c>
    </row>
    <row r="135" spans="1:11">
      <c r="A135">
        <v>234</v>
      </c>
      <c r="B135" t="s">
        <v>366</v>
      </c>
      <c r="C135">
        <v>35</v>
      </c>
      <c r="D135" t="s">
        <v>367</v>
      </c>
      <c r="E135" t="s">
        <v>368</v>
      </c>
      <c r="F135">
        <v>820.9</v>
      </c>
      <c r="G135">
        <v>12</v>
      </c>
      <c r="H135">
        <v>4.3</v>
      </c>
      <c r="I135" s="6" t="b">
        <v>0</v>
      </c>
      <c r="J135">
        <v>12</v>
      </c>
      <c r="K135" t="s">
        <v>369</v>
      </c>
    </row>
    <row r="136" spans="1:11">
      <c r="A136">
        <v>235</v>
      </c>
      <c r="B136" t="s">
        <v>362</v>
      </c>
      <c r="C136">
        <v>41</v>
      </c>
      <c r="D136" t="s">
        <v>370</v>
      </c>
      <c r="E136" t="s">
        <v>371</v>
      </c>
      <c r="F136">
        <v>480.25</v>
      </c>
      <c r="G136">
        <v>9</v>
      </c>
      <c r="H136">
        <v>3.6</v>
      </c>
      <c r="I136" s="6" t="b">
        <v>1</v>
      </c>
      <c r="J136">
        <v>38</v>
      </c>
      <c r="K136" t="s">
        <v>372</v>
      </c>
    </row>
    <row r="137" spans="1:11">
      <c r="A137">
        <v>236</v>
      </c>
      <c r="B137" t="s">
        <v>366</v>
      </c>
      <c r="C137">
        <v>28</v>
      </c>
      <c r="D137" t="s">
        <v>373</v>
      </c>
      <c r="E137" t="s">
        <v>364</v>
      </c>
      <c r="F137">
        <v>1490.1</v>
      </c>
      <c r="G137">
        <v>21</v>
      </c>
      <c r="H137">
        <v>4.9</v>
      </c>
      <c r="I137" s="6" t="b">
        <v>0</v>
      </c>
      <c r="J137">
        <v>9</v>
      </c>
      <c r="K137" t="s">
        <v>365</v>
      </c>
    </row>
    <row r="138" spans="1:11">
      <c r="A138">
        <v>237</v>
      </c>
      <c r="B138" t="s">
        <v>366</v>
      </c>
      <c r="C138">
        <v>32</v>
      </c>
      <c r="D138" t="s">
        <v>374</v>
      </c>
      <c r="E138" t="s">
        <v>368</v>
      </c>
      <c r="F138">
        <v>680.3</v>
      </c>
      <c r="G138">
        <v>10</v>
      </c>
      <c r="H138">
        <v>3.8</v>
      </c>
      <c r="I138" s="6" t="b">
        <v>1</v>
      </c>
      <c r="J138">
        <v>32</v>
      </c>
      <c r="K138" t="s">
        <v>372</v>
      </c>
    </row>
    <row r="139" spans="1:11">
      <c r="A139">
        <v>238</v>
      </c>
      <c r="B139" t="s">
        <v>362</v>
      </c>
      <c r="C139">
        <v>36</v>
      </c>
      <c r="D139" t="s">
        <v>375</v>
      </c>
      <c r="E139" t="s">
        <v>371</v>
      </c>
      <c r="F139">
        <v>470.5</v>
      </c>
      <c r="G139">
        <v>8</v>
      </c>
      <c r="H139">
        <v>3</v>
      </c>
      <c r="I139" s="6" t="b">
        <v>0</v>
      </c>
      <c r="J139">
        <v>18</v>
      </c>
      <c r="K139" t="s">
        <v>369</v>
      </c>
    </row>
    <row r="140" spans="1:11">
      <c r="A140">
        <v>239</v>
      </c>
      <c r="B140" t="s">
        <v>362</v>
      </c>
      <c r="C140">
        <v>30</v>
      </c>
      <c r="D140" t="s">
        <v>363</v>
      </c>
      <c r="E140" t="s">
        <v>364</v>
      </c>
      <c r="F140">
        <v>1180.8</v>
      </c>
      <c r="G140">
        <v>16</v>
      </c>
      <c r="H140">
        <v>4.7</v>
      </c>
      <c r="I140" s="6" t="b">
        <v>1</v>
      </c>
      <c r="J140">
        <v>19</v>
      </c>
      <c r="K140" t="s">
        <v>365</v>
      </c>
    </row>
    <row r="141" spans="1:11">
      <c r="A141">
        <v>240</v>
      </c>
      <c r="B141" t="s">
        <v>366</v>
      </c>
      <c r="C141">
        <v>34</v>
      </c>
      <c r="D141" t="s">
        <v>367</v>
      </c>
      <c r="E141" t="s">
        <v>368</v>
      </c>
      <c r="F141">
        <v>790.2</v>
      </c>
      <c r="G141">
        <v>11</v>
      </c>
      <c r="H141">
        <v>4</v>
      </c>
      <c r="I141" s="6" t="b">
        <v>0</v>
      </c>
      <c r="J141">
        <v>15</v>
      </c>
      <c r="K141" t="s">
        <v>369</v>
      </c>
    </row>
    <row r="142" spans="1:11">
      <c r="A142">
        <v>241</v>
      </c>
      <c r="B142" t="s">
        <v>362</v>
      </c>
      <c r="C142">
        <v>43</v>
      </c>
      <c r="D142" t="s">
        <v>370</v>
      </c>
      <c r="E142" t="s">
        <v>371</v>
      </c>
      <c r="F142">
        <v>505.75</v>
      </c>
      <c r="G142">
        <v>10</v>
      </c>
      <c r="H142">
        <v>3.3</v>
      </c>
      <c r="I142" s="6" t="b">
        <v>1</v>
      </c>
      <c r="J142">
        <v>39</v>
      </c>
      <c r="K142" t="s">
        <v>372</v>
      </c>
    </row>
    <row r="143" spans="1:11">
      <c r="A143">
        <v>242</v>
      </c>
      <c r="B143" t="s">
        <v>366</v>
      </c>
      <c r="C143">
        <v>30</v>
      </c>
      <c r="D143" t="s">
        <v>373</v>
      </c>
      <c r="E143" t="s">
        <v>364</v>
      </c>
      <c r="F143">
        <v>1470.5</v>
      </c>
      <c r="G143">
        <v>20</v>
      </c>
      <c r="H143">
        <v>4.8</v>
      </c>
      <c r="I143" s="6" t="b">
        <v>0</v>
      </c>
      <c r="J143">
        <v>13</v>
      </c>
      <c r="K143" t="s">
        <v>365</v>
      </c>
    </row>
    <row r="144" spans="1:11">
      <c r="A144">
        <v>243</v>
      </c>
      <c r="B144" t="s">
        <v>366</v>
      </c>
      <c r="C144">
        <v>27</v>
      </c>
      <c r="D144" t="s">
        <v>374</v>
      </c>
      <c r="E144" t="s">
        <v>368</v>
      </c>
      <c r="F144">
        <v>710.4</v>
      </c>
      <c r="G144">
        <v>13</v>
      </c>
      <c r="H144">
        <v>4.1</v>
      </c>
      <c r="I144" s="6" t="b">
        <v>1</v>
      </c>
      <c r="J144">
        <v>54</v>
      </c>
      <c r="K144" t="s">
        <v>372</v>
      </c>
    </row>
    <row r="145" spans="1:11">
      <c r="A145">
        <v>244</v>
      </c>
      <c r="B145" t="s">
        <v>362</v>
      </c>
      <c r="C145">
        <v>37</v>
      </c>
      <c r="D145" t="s">
        <v>375</v>
      </c>
      <c r="E145" t="s">
        <v>371</v>
      </c>
      <c r="F145">
        <v>430.8</v>
      </c>
      <c r="G145">
        <v>7</v>
      </c>
      <c r="H145">
        <v>3.4</v>
      </c>
      <c r="I145" s="6" t="b">
        <v>0</v>
      </c>
      <c r="J145">
        <v>23</v>
      </c>
      <c r="K145" t="s">
        <v>376</v>
      </c>
    </row>
    <row r="146" spans="1:11">
      <c r="A146">
        <v>245</v>
      </c>
      <c r="B146" t="s">
        <v>362</v>
      </c>
      <c r="C146">
        <v>31</v>
      </c>
      <c r="D146" t="s">
        <v>363</v>
      </c>
      <c r="E146" t="s">
        <v>364</v>
      </c>
      <c r="F146">
        <v>1130.6</v>
      </c>
      <c r="G146">
        <v>15</v>
      </c>
      <c r="H146">
        <v>4.5</v>
      </c>
      <c r="I146" s="6" t="b">
        <v>1</v>
      </c>
      <c r="J146">
        <v>26</v>
      </c>
      <c r="K146" t="s">
        <v>365</v>
      </c>
    </row>
    <row r="147" spans="1:11">
      <c r="A147">
        <v>246</v>
      </c>
      <c r="B147" t="s">
        <v>366</v>
      </c>
      <c r="C147">
        <v>35</v>
      </c>
      <c r="D147" t="s">
        <v>367</v>
      </c>
      <c r="E147" t="s">
        <v>368</v>
      </c>
      <c r="F147">
        <v>820.9</v>
      </c>
      <c r="G147">
        <v>12</v>
      </c>
      <c r="H147">
        <v>4.3</v>
      </c>
      <c r="I147" s="6" t="b">
        <v>0</v>
      </c>
      <c r="J147">
        <v>12</v>
      </c>
      <c r="K147" t="s">
        <v>369</v>
      </c>
    </row>
    <row r="148" spans="1:11">
      <c r="A148">
        <v>247</v>
      </c>
      <c r="B148" t="s">
        <v>362</v>
      </c>
      <c r="C148">
        <v>41</v>
      </c>
      <c r="D148" t="s">
        <v>370</v>
      </c>
      <c r="E148" t="s">
        <v>371</v>
      </c>
      <c r="F148">
        <v>480.25</v>
      </c>
      <c r="G148">
        <v>9</v>
      </c>
      <c r="H148">
        <v>3.6</v>
      </c>
      <c r="I148" s="6" t="b">
        <v>1</v>
      </c>
      <c r="J148">
        <v>38</v>
      </c>
      <c r="K148" t="s">
        <v>372</v>
      </c>
    </row>
    <row r="149" spans="1:11">
      <c r="A149">
        <v>248</v>
      </c>
      <c r="B149" t="s">
        <v>366</v>
      </c>
      <c r="C149">
        <v>28</v>
      </c>
      <c r="D149" t="s">
        <v>373</v>
      </c>
      <c r="E149" t="s">
        <v>364</v>
      </c>
      <c r="F149">
        <v>1490.1</v>
      </c>
      <c r="G149">
        <v>21</v>
      </c>
      <c r="H149">
        <v>4.9</v>
      </c>
      <c r="I149" s="6" t="b">
        <v>0</v>
      </c>
      <c r="J149">
        <v>9</v>
      </c>
      <c r="K149" t="s">
        <v>365</v>
      </c>
    </row>
    <row r="150" spans="1:11">
      <c r="A150">
        <v>249</v>
      </c>
      <c r="B150" t="s">
        <v>366</v>
      </c>
      <c r="C150">
        <v>32</v>
      </c>
      <c r="D150" t="s">
        <v>374</v>
      </c>
      <c r="E150" t="s">
        <v>368</v>
      </c>
      <c r="F150">
        <v>680.3</v>
      </c>
      <c r="G150">
        <v>10</v>
      </c>
      <c r="H150">
        <v>3.8</v>
      </c>
      <c r="I150" s="6" t="b">
        <v>1</v>
      </c>
      <c r="J150">
        <v>32</v>
      </c>
      <c r="K150" t="s">
        <v>372</v>
      </c>
    </row>
    <row r="151" spans="1:11">
      <c r="A151">
        <v>250</v>
      </c>
      <c r="B151" t="s">
        <v>362</v>
      </c>
      <c r="C151">
        <v>36</v>
      </c>
      <c r="D151" t="s">
        <v>375</v>
      </c>
      <c r="E151" t="s">
        <v>371</v>
      </c>
      <c r="F151">
        <v>470.5</v>
      </c>
      <c r="G151">
        <v>8</v>
      </c>
      <c r="H151">
        <v>3</v>
      </c>
      <c r="I151" s="6" t="b">
        <v>0</v>
      </c>
      <c r="J151">
        <v>18</v>
      </c>
      <c r="K151" t="s">
        <v>369</v>
      </c>
    </row>
    <row r="152" spans="1:11">
      <c r="A152">
        <v>251</v>
      </c>
      <c r="B152" t="s">
        <v>362</v>
      </c>
      <c r="C152">
        <v>30</v>
      </c>
      <c r="D152" t="s">
        <v>363</v>
      </c>
      <c r="E152" t="s">
        <v>364</v>
      </c>
      <c r="F152">
        <v>1180.8</v>
      </c>
      <c r="G152">
        <v>16</v>
      </c>
      <c r="H152">
        <v>4.7</v>
      </c>
      <c r="I152" s="6" t="b">
        <v>1</v>
      </c>
      <c r="J152">
        <v>19</v>
      </c>
      <c r="K152" t="s">
        <v>365</v>
      </c>
    </row>
    <row r="153" spans="1:11">
      <c r="A153">
        <v>252</v>
      </c>
      <c r="B153" t="s">
        <v>366</v>
      </c>
      <c r="C153">
        <v>34</v>
      </c>
      <c r="D153" t="s">
        <v>367</v>
      </c>
      <c r="E153" t="s">
        <v>368</v>
      </c>
      <c r="F153">
        <v>790.2</v>
      </c>
      <c r="G153">
        <v>11</v>
      </c>
      <c r="H153">
        <v>4</v>
      </c>
      <c r="I153" s="6" t="b">
        <v>0</v>
      </c>
      <c r="J153">
        <v>15</v>
      </c>
      <c r="K153" t="s">
        <v>369</v>
      </c>
    </row>
    <row r="154" spans="1:11">
      <c r="A154">
        <v>253</v>
      </c>
      <c r="B154" t="s">
        <v>362</v>
      </c>
      <c r="C154">
        <v>43</v>
      </c>
      <c r="D154" t="s">
        <v>370</v>
      </c>
      <c r="E154" t="s">
        <v>371</v>
      </c>
      <c r="F154">
        <v>505.75</v>
      </c>
      <c r="G154">
        <v>10</v>
      </c>
      <c r="H154">
        <v>3.3</v>
      </c>
      <c r="I154" s="6" t="b">
        <v>1</v>
      </c>
      <c r="J154">
        <v>39</v>
      </c>
      <c r="K154" t="s">
        <v>372</v>
      </c>
    </row>
    <row r="155" spans="1:11">
      <c r="A155">
        <v>254</v>
      </c>
      <c r="B155" t="s">
        <v>366</v>
      </c>
      <c r="C155">
        <v>30</v>
      </c>
      <c r="D155" t="s">
        <v>373</v>
      </c>
      <c r="E155" t="s">
        <v>364</v>
      </c>
      <c r="F155">
        <v>1470.5</v>
      </c>
      <c r="G155">
        <v>20</v>
      </c>
      <c r="H155">
        <v>4.8</v>
      </c>
      <c r="I155" s="6" t="b">
        <v>0</v>
      </c>
      <c r="J155">
        <v>13</v>
      </c>
      <c r="K155" t="s">
        <v>365</v>
      </c>
    </row>
    <row r="156" spans="1:11">
      <c r="A156">
        <v>255</v>
      </c>
      <c r="B156" t="s">
        <v>366</v>
      </c>
      <c r="C156">
        <v>27</v>
      </c>
      <c r="D156" t="s">
        <v>374</v>
      </c>
      <c r="E156" t="s">
        <v>368</v>
      </c>
      <c r="F156">
        <v>710.4</v>
      </c>
      <c r="G156">
        <v>13</v>
      </c>
      <c r="H156">
        <v>4.1</v>
      </c>
      <c r="I156" s="6" t="b">
        <v>1</v>
      </c>
      <c r="J156">
        <v>54</v>
      </c>
      <c r="K156" t="s">
        <v>372</v>
      </c>
    </row>
    <row r="157" spans="1:11">
      <c r="A157">
        <v>256</v>
      </c>
      <c r="B157" t="s">
        <v>362</v>
      </c>
      <c r="C157">
        <v>37</v>
      </c>
      <c r="D157" t="s">
        <v>375</v>
      </c>
      <c r="E157" t="s">
        <v>371</v>
      </c>
      <c r="F157">
        <v>430.8</v>
      </c>
      <c r="G157">
        <v>7</v>
      </c>
      <c r="H157">
        <v>3.4</v>
      </c>
      <c r="I157" s="6" t="b">
        <v>0</v>
      </c>
      <c r="J157">
        <v>23</v>
      </c>
      <c r="K157" t="s">
        <v>369</v>
      </c>
    </row>
    <row r="158" spans="1:11">
      <c r="A158">
        <v>257</v>
      </c>
      <c r="B158" t="s">
        <v>362</v>
      </c>
      <c r="C158">
        <v>31</v>
      </c>
      <c r="D158" t="s">
        <v>363</v>
      </c>
      <c r="E158" t="s">
        <v>364</v>
      </c>
      <c r="F158">
        <v>1140.6</v>
      </c>
      <c r="G158">
        <v>15</v>
      </c>
      <c r="H158">
        <v>4.6</v>
      </c>
      <c r="I158" s="6" t="b">
        <v>1</v>
      </c>
      <c r="J158">
        <v>27</v>
      </c>
      <c r="K158" t="s">
        <v>365</v>
      </c>
    </row>
    <row r="159" spans="1:11">
      <c r="A159">
        <v>258</v>
      </c>
      <c r="B159" t="s">
        <v>366</v>
      </c>
      <c r="C159">
        <v>35</v>
      </c>
      <c r="D159" t="s">
        <v>367</v>
      </c>
      <c r="E159" t="s">
        <v>368</v>
      </c>
      <c r="F159">
        <v>810.9</v>
      </c>
      <c r="G159">
        <v>12</v>
      </c>
      <c r="H159">
        <v>4.3</v>
      </c>
      <c r="I159" s="6" t="b">
        <v>0</v>
      </c>
      <c r="J159">
        <v>13</v>
      </c>
      <c r="K159" t="s">
        <v>369</v>
      </c>
    </row>
    <row r="160" spans="1:11">
      <c r="A160">
        <v>259</v>
      </c>
      <c r="B160" t="s">
        <v>362</v>
      </c>
      <c r="C160">
        <v>41</v>
      </c>
      <c r="D160" t="s">
        <v>370</v>
      </c>
      <c r="E160" t="s">
        <v>371</v>
      </c>
      <c r="F160">
        <v>485.25</v>
      </c>
      <c r="G160">
        <v>9</v>
      </c>
      <c r="H160">
        <v>3.6</v>
      </c>
      <c r="I160" s="6" t="b">
        <v>1</v>
      </c>
      <c r="J160">
        <v>39</v>
      </c>
      <c r="K160" t="s">
        <v>372</v>
      </c>
    </row>
    <row r="161" spans="1:11">
      <c r="A161">
        <v>260</v>
      </c>
      <c r="B161" t="s">
        <v>366</v>
      </c>
      <c r="C161">
        <v>28</v>
      </c>
      <c r="D161" t="s">
        <v>373</v>
      </c>
      <c r="E161" t="s">
        <v>364</v>
      </c>
      <c r="F161">
        <v>1500.1</v>
      </c>
      <c r="G161">
        <v>21</v>
      </c>
      <c r="H161">
        <v>4.9</v>
      </c>
      <c r="I161" s="6" t="b">
        <v>0</v>
      </c>
      <c r="J161">
        <v>10</v>
      </c>
      <c r="K161" t="s">
        <v>365</v>
      </c>
    </row>
    <row r="162" spans="1:11">
      <c r="A162">
        <v>261</v>
      </c>
      <c r="B162" t="s">
        <v>366</v>
      </c>
      <c r="C162">
        <v>32</v>
      </c>
      <c r="D162" t="s">
        <v>374</v>
      </c>
      <c r="E162" t="s">
        <v>368</v>
      </c>
      <c r="F162">
        <v>670.3</v>
      </c>
      <c r="G162">
        <v>10</v>
      </c>
      <c r="H162">
        <v>3.8</v>
      </c>
      <c r="I162" s="6" t="b">
        <v>1</v>
      </c>
      <c r="J162">
        <v>33</v>
      </c>
      <c r="K162" t="s">
        <v>372</v>
      </c>
    </row>
    <row r="163" spans="1:11">
      <c r="A163">
        <v>262</v>
      </c>
      <c r="B163" t="s">
        <v>362</v>
      </c>
      <c r="C163">
        <v>36</v>
      </c>
      <c r="D163" t="s">
        <v>375</v>
      </c>
      <c r="E163" t="s">
        <v>371</v>
      </c>
      <c r="F163">
        <v>460.5</v>
      </c>
      <c r="G163">
        <v>8</v>
      </c>
      <c r="H163">
        <v>3.1</v>
      </c>
      <c r="I163" s="6" t="b">
        <v>0</v>
      </c>
      <c r="J163">
        <v>19</v>
      </c>
      <c r="K163" t="s">
        <v>369</v>
      </c>
    </row>
    <row r="164" spans="1:11">
      <c r="A164">
        <v>263</v>
      </c>
      <c r="B164" t="s">
        <v>362</v>
      </c>
      <c r="C164">
        <v>30</v>
      </c>
      <c r="D164" t="s">
        <v>363</v>
      </c>
      <c r="E164" t="s">
        <v>364</v>
      </c>
      <c r="F164">
        <v>1190.8</v>
      </c>
      <c r="G164">
        <v>16</v>
      </c>
      <c r="H164">
        <v>4.5</v>
      </c>
      <c r="I164" s="6" t="b">
        <v>1</v>
      </c>
      <c r="J164">
        <v>20</v>
      </c>
      <c r="K164" t="s">
        <v>365</v>
      </c>
    </row>
    <row r="165" spans="1:11">
      <c r="A165">
        <v>264</v>
      </c>
      <c r="B165" t="s">
        <v>366</v>
      </c>
      <c r="C165">
        <v>33</v>
      </c>
      <c r="D165" t="s">
        <v>367</v>
      </c>
      <c r="E165" t="s">
        <v>368</v>
      </c>
      <c r="F165">
        <v>830.75</v>
      </c>
      <c r="G165">
        <v>13</v>
      </c>
      <c r="H165">
        <v>4.2</v>
      </c>
      <c r="I165" s="6" t="b">
        <v>0</v>
      </c>
      <c r="J165">
        <v>14</v>
      </c>
      <c r="K165" t="s">
        <v>365</v>
      </c>
    </row>
    <row r="166" spans="1:11">
      <c r="A166">
        <v>265</v>
      </c>
      <c r="B166" t="s">
        <v>362</v>
      </c>
      <c r="C166">
        <v>42</v>
      </c>
      <c r="D166" t="s">
        <v>370</v>
      </c>
      <c r="E166" t="s">
        <v>371</v>
      </c>
      <c r="F166">
        <v>520.4</v>
      </c>
      <c r="G166">
        <v>9</v>
      </c>
      <c r="H166">
        <v>3.5</v>
      </c>
      <c r="I166" s="6" t="b">
        <v>1</v>
      </c>
      <c r="J166">
        <v>37</v>
      </c>
      <c r="K166" t="s">
        <v>372</v>
      </c>
    </row>
    <row r="167" spans="1:11">
      <c r="A167">
        <v>266</v>
      </c>
      <c r="B167" t="s">
        <v>366</v>
      </c>
      <c r="C167">
        <v>29</v>
      </c>
      <c r="D167" t="s">
        <v>373</v>
      </c>
      <c r="E167" t="s">
        <v>364</v>
      </c>
      <c r="F167">
        <v>1370.2</v>
      </c>
      <c r="G167">
        <v>18</v>
      </c>
      <c r="H167">
        <v>4.7</v>
      </c>
      <c r="I167" s="6" t="b">
        <v>0</v>
      </c>
      <c r="J167">
        <v>10</v>
      </c>
      <c r="K167" t="s">
        <v>365</v>
      </c>
    </row>
    <row r="168" spans="1:11">
      <c r="A168">
        <v>267</v>
      </c>
      <c r="B168" t="s">
        <v>366</v>
      </c>
      <c r="C168">
        <v>26</v>
      </c>
      <c r="D168" t="s">
        <v>374</v>
      </c>
      <c r="E168" t="s">
        <v>368</v>
      </c>
      <c r="F168">
        <v>690.6</v>
      </c>
      <c r="G168">
        <v>12</v>
      </c>
      <c r="H168">
        <v>3.9</v>
      </c>
      <c r="I168" s="6" t="b">
        <v>1</v>
      </c>
      <c r="J168">
        <v>47</v>
      </c>
      <c r="K168" t="s">
        <v>372</v>
      </c>
    </row>
    <row r="169" spans="1:11">
      <c r="A169">
        <v>268</v>
      </c>
      <c r="B169" t="s">
        <v>362</v>
      </c>
      <c r="C169">
        <v>38</v>
      </c>
      <c r="D169" t="s">
        <v>375</v>
      </c>
      <c r="E169" t="s">
        <v>371</v>
      </c>
      <c r="F169">
        <v>440.9</v>
      </c>
      <c r="G169">
        <v>8</v>
      </c>
      <c r="H169">
        <v>3.2</v>
      </c>
      <c r="I169" s="6" t="b">
        <v>0</v>
      </c>
      <c r="J169">
        <v>24</v>
      </c>
      <c r="K169" t="s">
        <v>369</v>
      </c>
    </row>
    <row r="170" spans="1:11">
      <c r="A170">
        <v>269</v>
      </c>
      <c r="B170" t="s">
        <v>362</v>
      </c>
      <c r="C170">
        <v>32</v>
      </c>
      <c r="D170" t="s">
        <v>363</v>
      </c>
      <c r="E170" t="s">
        <v>364</v>
      </c>
      <c r="F170">
        <v>1160.3</v>
      </c>
      <c r="G170">
        <v>14</v>
      </c>
      <c r="H170">
        <v>4.4</v>
      </c>
      <c r="I170" s="6" t="b">
        <v>1</v>
      </c>
      <c r="J170">
        <v>22</v>
      </c>
      <c r="K170" t="s">
        <v>365</v>
      </c>
    </row>
    <row r="171" spans="1:11">
      <c r="A171">
        <v>270</v>
      </c>
      <c r="B171" t="s">
        <v>366</v>
      </c>
      <c r="C171">
        <v>34</v>
      </c>
      <c r="D171" t="s">
        <v>367</v>
      </c>
      <c r="E171" t="s">
        <v>368</v>
      </c>
      <c r="F171">
        <v>800.2</v>
      </c>
      <c r="G171">
        <v>11</v>
      </c>
      <c r="H171">
        <v>4.1</v>
      </c>
      <c r="I171" s="6" t="b">
        <v>0</v>
      </c>
      <c r="J171">
        <v>17</v>
      </c>
      <c r="K171" t="s">
        <v>369</v>
      </c>
    </row>
    <row r="172" spans="1:11">
      <c r="A172">
        <v>271</v>
      </c>
      <c r="B172" t="s">
        <v>362</v>
      </c>
      <c r="C172">
        <v>43</v>
      </c>
      <c r="D172" t="s">
        <v>370</v>
      </c>
      <c r="E172" t="s">
        <v>371</v>
      </c>
      <c r="F172">
        <v>500.75</v>
      </c>
      <c r="G172">
        <v>10</v>
      </c>
      <c r="H172">
        <v>3.3</v>
      </c>
      <c r="I172" s="6" t="b">
        <v>1</v>
      </c>
      <c r="J172">
        <v>40</v>
      </c>
      <c r="K172" t="s">
        <v>372</v>
      </c>
    </row>
    <row r="173" spans="1:11">
      <c r="A173">
        <v>272</v>
      </c>
      <c r="B173" t="s">
        <v>366</v>
      </c>
      <c r="C173">
        <v>30</v>
      </c>
      <c r="D173" t="s">
        <v>373</v>
      </c>
      <c r="E173" t="s">
        <v>364</v>
      </c>
      <c r="F173">
        <v>1460.5</v>
      </c>
      <c r="G173">
        <v>20</v>
      </c>
      <c r="H173">
        <v>4.8</v>
      </c>
      <c r="I173" s="6" t="b">
        <v>0</v>
      </c>
      <c r="J173">
        <v>12</v>
      </c>
      <c r="K173" t="s">
        <v>365</v>
      </c>
    </row>
    <row r="174" spans="1:11">
      <c r="A174">
        <v>273</v>
      </c>
      <c r="B174" t="s">
        <v>366</v>
      </c>
      <c r="C174">
        <v>27</v>
      </c>
      <c r="D174" t="s">
        <v>374</v>
      </c>
      <c r="E174" t="s">
        <v>368</v>
      </c>
      <c r="F174">
        <v>700.4</v>
      </c>
      <c r="G174">
        <v>13</v>
      </c>
      <c r="H174">
        <v>4</v>
      </c>
      <c r="I174" s="6" t="b">
        <v>1</v>
      </c>
      <c r="J174">
        <v>53</v>
      </c>
      <c r="K174" t="s">
        <v>372</v>
      </c>
    </row>
    <row r="175" spans="1:11">
      <c r="A175">
        <v>274</v>
      </c>
      <c r="B175" t="s">
        <v>362</v>
      </c>
      <c r="C175">
        <v>37</v>
      </c>
      <c r="D175" t="s">
        <v>375</v>
      </c>
      <c r="E175" t="s">
        <v>371</v>
      </c>
      <c r="F175">
        <v>430.8</v>
      </c>
      <c r="G175">
        <v>7</v>
      </c>
      <c r="H175">
        <v>3.4</v>
      </c>
      <c r="I175" s="6" t="b">
        <v>0</v>
      </c>
      <c r="J175">
        <v>23</v>
      </c>
      <c r="K175" t="s">
        <v>369</v>
      </c>
    </row>
    <row r="176" spans="1:11">
      <c r="A176">
        <v>275</v>
      </c>
      <c r="B176" t="s">
        <v>362</v>
      </c>
      <c r="C176">
        <v>31</v>
      </c>
      <c r="D176" t="s">
        <v>363</v>
      </c>
      <c r="E176" t="s">
        <v>364</v>
      </c>
      <c r="F176">
        <v>1140.6</v>
      </c>
      <c r="G176">
        <v>15</v>
      </c>
      <c r="H176">
        <v>4.5</v>
      </c>
      <c r="I176" s="6" t="b">
        <v>1</v>
      </c>
      <c r="J176">
        <v>27</v>
      </c>
      <c r="K176" t="s">
        <v>365</v>
      </c>
    </row>
    <row r="177" spans="1:11">
      <c r="A177">
        <v>276</v>
      </c>
      <c r="B177" t="s">
        <v>366</v>
      </c>
      <c r="C177">
        <v>35</v>
      </c>
      <c r="D177" t="s">
        <v>367</v>
      </c>
      <c r="E177" t="s">
        <v>368</v>
      </c>
      <c r="F177">
        <v>820.9</v>
      </c>
      <c r="G177">
        <v>12</v>
      </c>
      <c r="H177">
        <v>4.3</v>
      </c>
      <c r="I177" s="6" t="b">
        <v>0</v>
      </c>
      <c r="J177">
        <v>12</v>
      </c>
      <c r="K177" t="s">
        <v>369</v>
      </c>
    </row>
    <row r="178" spans="1:11">
      <c r="A178">
        <v>277</v>
      </c>
      <c r="B178" t="s">
        <v>362</v>
      </c>
      <c r="C178">
        <v>41</v>
      </c>
      <c r="D178" t="s">
        <v>370</v>
      </c>
      <c r="E178" t="s">
        <v>371</v>
      </c>
      <c r="F178">
        <v>480.25</v>
      </c>
      <c r="G178">
        <v>9</v>
      </c>
      <c r="H178">
        <v>3.6</v>
      </c>
      <c r="I178" s="6" t="b">
        <v>1</v>
      </c>
      <c r="J178">
        <v>38</v>
      </c>
      <c r="K178" t="s">
        <v>372</v>
      </c>
    </row>
    <row r="179" spans="1:11">
      <c r="A179">
        <v>278</v>
      </c>
      <c r="B179" t="s">
        <v>366</v>
      </c>
      <c r="C179">
        <v>28</v>
      </c>
      <c r="D179" t="s">
        <v>373</v>
      </c>
      <c r="E179" t="s">
        <v>364</v>
      </c>
      <c r="F179">
        <v>1490.1</v>
      </c>
      <c r="G179">
        <v>21</v>
      </c>
      <c r="H179">
        <v>4.9</v>
      </c>
      <c r="I179" s="6" t="b">
        <v>0</v>
      </c>
      <c r="J179">
        <v>9</v>
      </c>
      <c r="K179" t="s">
        <v>365</v>
      </c>
    </row>
    <row r="180" spans="1:11">
      <c r="A180">
        <v>279</v>
      </c>
      <c r="B180" t="s">
        <v>366</v>
      </c>
      <c r="C180">
        <v>32</v>
      </c>
      <c r="D180" t="s">
        <v>374</v>
      </c>
      <c r="E180" t="s">
        <v>368</v>
      </c>
      <c r="F180">
        <v>680.3</v>
      </c>
      <c r="G180">
        <v>10</v>
      </c>
      <c r="H180">
        <v>3.8</v>
      </c>
      <c r="I180" s="6" t="b">
        <v>1</v>
      </c>
      <c r="J180">
        <v>32</v>
      </c>
      <c r="K180" t="s">
        <v>372</v>
      </c>
    </row>
    <row r="181" spans="1:11">
      <c r="A181">
        <v>280</v>
      </c>
      <c r="B181" t="s">
        <v>362</v>
      </c>
      <c r="C181">
        <v>36</v>
      </c>
      <c r="D181" t="s">
        <v>375</v>
      </c>
      <c r="E181" t="s">
        <v>371</v>
      </c>
      <c r="F181">
        <v>470.5</v>
      </c>
      <c r="G181">
        <v>8</v>
      </c>
      <c r="H181">
        <v>3</v>
      </c>
      <c r="I181" s="6" t="b">
        <v>0</v>
      </c>
      <c r="J181">
        <v>18</v>
      </c>
      <c r="K181" t="s">
        <v>369</v>
      </c>
    </row>
    <row r="182" spans="1:11">
      <c r="A182">
        <v>281</v>
      </c>
      <c r="B182" t="s">
        <v>362</v>
      </c>
      <c r="C182">
        <v>30</v>
      </c>
      <c r="D182" t="s">
        <v>363</v>
      </c>
      <c r="E182" t="s">
        <v>364</v>
      </c>
      <c r="F182">
        <v>1180.8</v>
      </c>
      <c r="G182">
        <v>16</v>
      </c>
      <c r="H182">
        <v>4.7</v>
      </c>
      <c r="I182" s="6" t="b">
        <v>1</v>
      </c>
      <c r="J182">
        <v>19</v>
      </c>
      <c r="K182" t="s">
        <v>365</v>
      </c>
    </row>
    <row r="183" spans="1:11">
      <c r="A183">
        <v>282</v>
      </c>
      <c r="B183" t="s">
        <v>366</v>
      </c>
      <c r="C183">
        <v>34</v>
      </c>
      <c r="D183" t="s">
        <v>367</v>
      </c>
      <c r="E183" t="s">
        <v>368</v>
      </c>
      <c r="F183">
        <v>790.2</v>
      </c>
      <c r="G183">
        <v>11</v>
      </c>
      <c r="H183">
        <v>4</v>
      </c>
      <c r="I183" s="6" t="b">
        <v>0</v>
      </c>
      <c r="J183">
        <v>15</v>
      </c>
      <c r="K183" t="s">
        <v>369</v>
      </c>
    </row>
    <row r="184" spans="1:11">
      <c r="A184">
        <v>283</v>
      </c>
      <c r="B184" t="s">
        <v>362</v>
      </c>
      <c r="C184">
        <v>43</v>
      </c>
      <c r="D184" t="s">
        <v>370</v>
      </c>
      <c r="E184" t="s">
        <v>371</v>
      </c>
      <c r="F184">
        <v>505.75</v>
      </c>
      <c r="G184">
        <v>10</v>
      </c>
      <c r="H184">
        <v>3.3</v>
      </c>
      <c r="I184" s="6" t="b">
        <v>1</v>
      </c>
      <c r="J184">
        <v>39</v>
      </c>
      <c r="K184" t="s">
        <v>372</v>
      </c>
    </row>
    <row r="185" spans="1:11">
      <c r="A185">
        <v>284</v>
      </c>
      <c r="B185" t="s">
        <v>366</v>
      </c>
      <c r="C185">
        <v>30</v>
      </c>
      <c r="D185" t="s">
        <v>373</v>
      </c>
      <c r="E185" t="s">
        <v>364</v>
      </c>
      <c r="F185">
        <v>1470.5</v>
      </c>
      <c r="G185">
        <v>20</v>
      </c>
      <c r="H185">
        <v>4.8</v>
      </c>
      <c r="I185" s="6" t="b">
        <v>0</v>
      </c>
      <c r="J185">
        <v>13</v>
      </c>
      <c r="K185" t="s">
        <v>365</v>
      </c>
    </row>
    <row r="186" spans="1:11">
      <c r="A186">
        <v>285</v>
      </c>
      <c r="B186" t="s">
        <v>366</v>
      </c>
      <c r="C186">
        <v>27</v>
      </c>
      <c r="D186" t="s">
        <v>374</v>
      </c>
      <c r="E186" t="s">
        <v>368</v>
      </c>
      <c r="F186">
        <v>710.4</v>
      </c>
      <c r="G186">
        <v>13</v>
      </c>
      <c r="H186">
        <v>4.1</v>
      </c>
      <c r="I186" s="6" t="b">
        <v>1</v>
      </c>
      <c r="J186">
        <v>54</v>
      </c>
      <c r="K186" t="s">
        <v>372</v>
      </c>
    </row>
    <row r="187" spans="1:11">
      <c r="A187">
        <v>286</v>
      </c>
      <c r="B187" t="s">
        <v>362</v>
      </c>
      <c r="C187">
        <v>37</v>
      </c>
      <c r="D187" t="s">
        <v>375</v>
      </c>
      <c r="E187" t="s">
        <v>371</v>
      </c>
      <c r="F187">
        <v>430.8</v>
      </c>
      <c r="G187">
        <v>7</v>
      </c>
      <c r="H187">
        <v>3.4</v>
      </c>
      <c r="I187" s="6" t="b">
        <v>0</v>
      </c>
      <c r="J187">
        <v>23</v>
      </c>
      <c r="K187" t="s">
        <v>369</v>
      </c>
    </row>
    <row r="188" spans="1:11">
      <c r="A188">
        <v>287</v>
      </c>
      <c r="B188" t="s">
        <v>362</v>
      </c>
      <c r="C188">
        <v>31</v>
      </c>
      <c r="D188" t="s">
        <v>363</v>
      </c>
      <c r="E188" t="s">
        <v>364</v>
      </c>
      <c r="F188">
        <v>1130.6</v>
      </c>
      <c r="G188">
        <v>15</v>
      </c>
      <c r="H188">
        <v>4.5</v>
      </c>
      <c r="I188" s="6" t="b">
        <v>1</v>
      </c>
      <c r="J188">
        <v>26</v>
      </c>
      <c r="K188" t="s">
        <v>365</v>
      </c>
    </row>
    <row r="189" spans="1:11">
      <c r="A189">
        <v>288</v>
      </c>
      <c r="B189" t="s">
        <v>366</v>
      </c>
      <c r="C189">
        <v>35</v>
      </c>
      <c r="D189" t="s">
        <v>367</v>
      </c>
      <c r="E189" t="s">
        <v>368</v>
      </c>
      <c r="F189">
        <v>820.9</v>
      </c>
      <c r="G189">
        <v>12</v>
      </c>
      <c r="H189">
        <v>4.3</v>
      </c>
      <c r="I189" s="6" t="b">
        <v>0</v>
      </c>
      <c r="J189">
        <v>13</v>
      </c>
      <c r="K189" t="s">
        <v>369</v>
      </c>
    </row>
    <row r="190" spans="1:11">
      <c r="A190">
        <v>289</v>
      </c>
      <c r="B190" t="s">
        <v>362</v>
      </c>
      <c r="C190">
        <v>41</v>
      </c>
      <c r="D190" t="s">
        <v>370</v>
      </c>
      <c r="E190" t="s">
        <v>371</v>
      </c>
      <c r="F190">
        <v>485.25</v>
      </c>
      <c r="G190">
        <v>9</v>
      </c>
      <c r="H190">
        <v>3.6</v>
      </c>
      <c r="I190" s="6" t="b">
        <v>1</v>
      </c>
      <c r="J190">
        <v>39</v>
      </c>
      <c r="K190" t="s">
        <v>372</v>
      </c>
    </row>
    <row r="191" spans="1:11">
      <c r="A191">
        <v>290</v>
      </c>
      <c r="B191" t="s">
        <v>366</v>
      </c>
      <c r="C191">
        <v>28</v>
      </c>
      <c r="D191" t="s">
        <v>373</v>
      </c>
      <c r="E191" t="s">
        <v>364</v>
      </c>
      <c r="F191">
        <v>1500.1</v>
      </c>
      <c r="G191">
        <v>21</v>
      </c>
      <c r="H191">
        <v>4.9</v>
      </c>
      <c r="I191" s="6" t="b">
        <v>0</v>
      </c>
      <c r="J191">
        <v>10</v>
      </c>
      <c r="K191" t="s">
        <v>365</v>
      </c>
    </row>
    <row r="192" spans="1:11">
      <c r="A192">
        <v>291</v>
      </c>
      <c r="B192" t="s">
        <v>366</v>
      </c>
      <c r="C192">
        <v>32</v>
      </c>
      <c r="D192" t="s">
        <v>374</v>
      </c>
      <c r="E192" t="s">
        <v>368</v>
      </c>
      <c r="F192">
        <v>670.3</v>
      </c>
      <c r="G192">
        <v>10</v>
      </c>
      <c r="H192">
        <v>3.8</v>
      </c>
      <c r="I192" s="6" t="b">
        <v>1</v>
      </c>
      <c r="J192">
        <v>33</v>
      </c>
      <c r="K192" t="s">
        <v>372</v>
      </c>
    </row>
    <row r="193" spans="1:11">
      <c r="A193">
        <v>292</v>
      </c>
      <c r="B193" t="s">
        <v>362</v>
      </c>
      <c r="C193">
        <v>36</v>
      </c>
      <c r="D193" t="s">
        <v>375</v>
      </c>
      <c r="E193" t="s">
        <v>371</v>
      </c>
      <c r="F193">
        <v>460.5</v>
      </c>
      <c r="G193">
        <v>8</v>
      </c>
      <c r="H193">
        <v>3.1</v>
      </c>
      <c r="I193" s="6" t="b">
        <v>0</v>
      </c>
      <c r="J193">
        <v>19</v>
      </c>
      <c r="K193" t="s">
        <v>369</v>
      </c>
    </row>
    <row r="194" spans="1:11">
      <c r="A194">
        <v>293</v>
      </c>
      <c r="B194" t="s">
        <v>362</v>
      </c>
      <c r="C194">
        <v>30</v>
      </c>
      <c r="D194" t="s">
        <v>363</v>
      </c>
      <c r="E194" t="s">
        <v>364</v>
      </c>
      <c r="F194">
        <v>1190.8</v>
      </c>
      <c r="G194">
        <v>16</v>
      </c>
      <c r="H194">
        <v>4.5</v>
      </c>
      <c r="I194" s="6" t="b">
        <v>1</v>
      </c>
      <c r="J194">
        <v>20</v>
      </c>
      <c r="K194" t="s">
        <v>365</v>
      </c>
    </row>
    <row r="195" spans="1:11">
      <c r="A195">
        <v>294</v>
      </c>
      <c r="B195" t="s">
        <v>366</v>
      </c>
      <c r="C195">
        <v>33</v>
      </c>
      <c r="D195" t="s">
        <v>367</v>
      </c>
      <c r="E195" t="s">
        <v>368</v>
      </c>
      <c r="F195">
        <v>830.75</v>
      </c>
      <c r="G195">
        <v>13</v>
      </c>
      <c r="H195">
        <v>4.2</v>
      </c>
      <c r="I195" s="6" t="b">
        <v>0</v>
      </c>
      <c r="J195">
        <v>14</v>
      </c>
      <c r="K195" t="s">
        <v>365</v>
      </c>
    </row>
    <row r="196" spans="1:11">
      <c r="A196">
        <v>295</v>
      </c>
      <c r="B196" t="s">
        <v>362</v>
      </c>
      <c r="C196">
        <v>42</v>
      </c>
      <c r="D196" t="s">
        <v>370</v>
      </c>
      <c r="E196" t="s">
        <v>371</v>
      </c>
      <c r="F196">
        <v>520.4</v>
      </c>
      <c r="G196">
        <v>9</v>
      </c>
      <c r="H196">
        <v>3.5</v>
      </c>
      <c r="I196" s="6" t="b">
        <v>1</v>
      </c>
      <c r="J196">
        <v>37</v>
      </c>
      <c r="K196" t="s">
        <v>372</v>
      </c>
    </row>
    <row r="197" spans="1:11">
      <c r="A197">
        <v>296</v>
      </c>
      <c r="B197" t="s">
        <v>366</v>
      </c>
      <c r="C197">
        <v>29</v>
      </c>
      <c r="D197" t="s">
        <v>373</v>
      </c>
      <c r="E197" t="s">
        <v>364</v>
      </c>
      <c r="F197">
        <v>1370.2</v>
      </c>
      <c r="G197">
        <v>18</v>
      </c>
      <c r="H197">
        <v>4.7</v>
      </c>
      <c r="I197" s="6" t="b">
        <v>0</v>
      </c>
      <c r="J197">
        <v>10</v>
      </c>
      <c r="K197" t="s">
        <v>365</v>
      </c>
    </row>
    <row r="198" spans="1:11">
      <c r="A198">
        <v>297</v>
      </c>
      <c r="B198" t="s">
        <v>366</v>
      </c>
      <c r="C198">
        <v>26</v>
      </c>
      <c r="D198" t="s">
        <v>374</v>
      </c>
      <c r="E198" t="s">
        <v>368</v>
      </c>
      <c r="F198">
        <v>690.6</v>
      </c>
      <c r="G198">
        <v>12</v>
      </c>
      <c r="H198">
        <v>3.9</v>
      </c>
      <c r="I198" s="6" t="b">
        <v>1</v>
      </c>
      <c r="J198">
        <v>47</v>
      </c>
      <c r="K198" t="s">
        <v>372</v>
      </c>
    </row>
    <row r="199" spans="1:11">
      <c r="A199">
        <v>298</v>
      </c>
      <c r="B199" t="s">
        <v>362</v>
      </c>
      <c r="C199">
        <v>38</v>
      </c>
      <c r="D199" t="s">
        <v>375</v>
      </c>
      <c r="E199" t="s">
        <v>371</v>
      </c>
      <c r="F199">
        <v>440.9</v>
      </c>
      <c r="G199">
        <v>8</v>
      </c>
      <c r="H199">
        <v>3.2</v>
      </c>
      <c r="I199" s="6" t="b">
        <v>0</v>
      </c>
      <c r="J199">
        <v>24</v>
      </c>
      <c r="K199" t="s">
        <v>369</v>
      </c>
    </row>
    <row r="200" spans="1:11">
      <c r="A200">
        <v>299</v>
      </c>
      <c r="B200" t="s">
        <v>362</v>
      </c>
      <c r="C200">
        <v>32</v>
      </c>
      <c r="D200" t="s">
        <v>363</v>
      </c>
      <c r="E200" t="s">
        <v>364</v>
      </c>
      <c r="F200">
        <v>1160.3</v>
      </c>
      <c r="G200">
        <v>14</v>
      </c>
      <c r="H200">
        <v>4.4</v>
      </c>
      <c r="I200" s="6" t="b">
        <v>1</v>
      </c>
      <c r="J200">
        <v>22</v>
      </c>
      <c r="K200" t="s">
        <v>365</v>
      </c>
    </row>
    <row r="201" spans="1:11">
      <c r="A201">
        <v>300</v>
      </c>
      <c r="B201" t="s">
        <v>366</v>
      </c>
      <c r="C201">
        <v>34</v>
      </c>
      <c r="D201" t="s">
        <v>367</v>
      </c>
      <c r="E201" t="s">
        <v>368</v>
      </c>
      <c r="F201">
        <v>800.2</v>
      </c>
      <c r="G201">
        <v>11</v>
      </c>
      <c r="H201">
        <v>4.1</v>
      </c>
      <c r="I201" s="6" t="b">
        <v>0</v>
      </c>
      <c r="J201">
        <v>17</v>
      </c>
      <c r="K201" t="s">
        <v>369</v>
      </c>
    </row>
    <row r="202" spans="1:11">
      <c r="A202">
        <v>301</v>
      </c>
      <c r="B202" t="s">
        <v>366</v>
      </c>
      <c r="C202">
        <v>36</v>
      </c>
      <c r="D202" t="s">
        <v>373</v>
      </c>
      <c r="E202" t="s">
        <v>364</v>
      </c>
      <c r="F202">
        <v>1420.8</v>
      </c>
      <c r="G202">
        <v>19</v>
      </c>
      <c r="H202">
        <v>4.6</v>
      </c>
      <c r="I202" s="6" t="b">
        <v>0</v>
      </c>
      <c r="J202">
        <v>11</v>
      </c>
      <c r="K202" t="s">
        <v>365</v>
      </c>
    </row>
    <row r="203" spans="1:11">
      <c r="A203">
        <v>302</v>
      </c>
      <c r="B203" t="s">
        <v>362</v>
      </c>
      <c r="C203">
        <v>29</v>
      </c>
      <c r="D203" t="s">
        <v>374</v>
      </c>
      <c r="E203" t="s">
        <v>368</v>
      </c>
      <c r="F203">
        <v>730.4</v>
      </c>
      <c r="G203">
        <v>14</v>
      </c>
      <c r="H203">
        <v>4</v>
      </c>
      <c r="I203" s="6" t="b">
        <v>1</v>
      </c>
      <c r="J203">
        <v>50</v>
      </c>
      <c r="K203" t="s">
        <v>372</v>
      </c>
    </row>
    <row r="204" spans="1:11">
      <c r="A204">
        <v>303</v>
      </c>
      <c r="B204" t="s">
        <v>362</v>
      </c>
      <c r="C204">
        <v>35</v>
      </c>
      <c r="D204" t="s">
        <v>375</v>
      </c>
      <c r="E204" t="s">
        <v>371</v>
      </c>
      <c r="F204">
        <v>450.6</v>
      </c>
      <c r="G204">
        <v>7</v>
      </c>
      <c r="H204">
        <v>3.3</v>
      </c>
      <c r="I204" s="6" t="b">
        <v>0</v>
      </c>
      <c r="J204">
        <v>21</v>
      </c>
      <c r="K204" t="s">
        <v>369</v>
      </c>
    </row>
    <row r="205" spans="1:11">
      <c r="A205">
        <v>304</v>
      </c>
      <c r="B205" t="s">
        <v>366</v>
      </c>
      <c r="C205">
        <v>31</v>
      </c>
      <c r="D205" t="s">
        <v>363</v>
      </c>
      <c r="E205" t="s">
        <v>364</v>
      </c>
      <c r="F205">
        <v>1210.6</v>
      </c>
      <c r="G205">
        <v>17</v>
      </c>
      <c r="H205">
        <v>4.8</v>
      </c>
      <c r="I205" s="6" t="b">
        <v>1</v>
      </c>
      <c r="J205">
        <v>18</v>
      </c>
      <c r="K205" t="s">
        <v>365</v>
      </c>
    </row>
    <row r="206" spans="1:11">
      <c r="A206">
        <v>305</v>
      </c>
      <c r="B206" t="s">
        <v>366</v>
      </c>
      <c r="C206">
        <v>27</v>
      </c>
      <c r="D206" t="s">
        <v>367</v>
      </c>
      <c r="E206" t="s">
        <v>368</v>
      </c>
      <c r="F206">
        <v>780.9</v>
      </c>
      <c r="G206">
        <v>11</v>
      </c>
      <c r="H206">
        <v>4.2</v>
      </c>
      <c r="I206" s="6" t="b">
        <v>0</v>
      </c>
      <c r="J206">
        <v>16</v>
      </c>
      <c r="K206" t="s">
        <v>369</v>
      </c>
    </row>
    <row r="207" spans="1:11">
      <c r="A207">
        <v>306</v>
      </c>
      <c r="B207" t="s">
        <v>362</v>
      </c>
      <c r="C207">
        <v>42</v>
      </c>
      <c r="D207" t="s">
        <v>370</v>
      </c>
      <c r="E207" t="s">
        <v>371</v>
      </c>
      <c r="F207">
        <v>495.25</v>
      </c>
      <c r="G207">
        <v>10</v>
      </c>
      <c r="H207">
        <v>3.5</v>
      </c>
      <c r="I207" s="6" t="b">
        <v>1</v>
      </c>
      <c r="J207">
        <v>35</v>
      </c>
      <c r="K207" t="s">
        <v>372</v>
      </c>
    </row>
    <row r="208" spans="1:11">
      <c r="A208">
        <v>307</v>
      </c>
      <c r="B208" t="s">
        <v>366</v>
      </c>
      <c r="C208">
        <v>29</v>
      </c>
      <c r="D208" t="s">
        <v>373</v>
      </c>
      <c r="E208" t="s">
        <v>364</v>
      </c>
      <c r="F208">
        <v>1390.2</v>
      </c>
      <c r="G208">
        <v>18</v>
      </c>
      <c r="H208">
        <v>4.7</v>
      </c>
      <c r="I208" s="6" t="b">
        <v>0</v>
      </c>
      <c r="J208">
        <v>9</v>
      </c>
      <c r="K208" t="s">
        <v>365</v>
      </c>
    </row>
    <row r="209" spans="1:11">
      <c r="A209">
        <v>308</v>
      </c>
      <c r="B209" t="s">
        <v>366</v>
      </c>
      <c r="C209">
        <v>26</v>
      </c>
      <c r="D209" t="s">
        <v>374</v>
      </c>
      <c r="E209" t="s">
        <v>368</v>
      </c>
      <c r="F209">
        <v>670.6</v>
      </c>
      <c r="G209">
        <v>12</v>
      </c>
      <c r="H209">
        <v>3.9</v>
      </c>
      <c r="I209" s="6" t="b">
        <v>1</v>
      </c>
      <c r="J209">
        <v>46</v>
      </c>
      <c r="K209" t="s">
        <v>372</v>
      </c>
    </row>
    <row r="210" spans="1:11">
      <c r="A210">
        <v>309</v>
      </c>
      <c r="B210" t="s">
        <v>362</v>
      </c>
      <c r="C210">
        <v>38</v>
      </c>
      <c r="D210" t="s">
        <v>375</v>
      </c>
      <c r="E210" t="s">
        <v>371</v>
      </c>
      <c r="F210">
        <v>460.9</v>
      </c>
      <c r="G210">
        <v>8</v>
      </c>
      <c r="H210">
        <v>3.2</v>
      </c>
      <c r="I210" s="6" t="b">
        <v>0</v>
      </c>
      <c r="J210">
        <v>25</v>
      </c>
      <c r="K210" t="s">
        <v>369</v>
      </c>
    </row>
    <row r="211" spans="1:11">
      <c r="A211">
        <v>310</v>
      </c>
      <c r="B211" t="s">
        <v>362</v>
      </c>
      <c r="C211">
        <v>32</v>
      </c>
      <c r="D211" t="s">
        <v>363</v>
      </c>
      <c r="E211" t="s">
        <v>364</v>
      </c>
      <c r="F211">
        <v>1170.3</v>
      </c>
      <c r="G211">
        <v>14</v>
      </c>
      <c r="H211">
        <v>4.5</v>
      </c>
      <c r="I211" s="6" t="b">
        <v>1</v>
      </c>
      <c r="J211">
        <v>21</v>
      </c>
      <c r="K211" t="s">
        <v>365</v>
      </c>
    </row>
    <row r="212" spans="1:11">
      <c r="A212">
        <v>311</v>
      </c>
      <c r="B212" t="s">
        <v>366</v>
      </c>
      <c r="C212">
        <v>34</v>
      </c>
      <c r="D212" t="s">
        <v>367</v>
      </c>
      <c r="E212" t="s">
        <v>368</v>
      </c>
      <c r="F212">
        <v>810.2</v>
      </c>
      <c r="G212">
        <v>11</v>
      </c>
      <c r="H212">
        <v>4</v>
      </c>
      <c r="I212" s="6" t="b">
        <v>0</v>
      </c>
      <c r="J212">
        <v>14</v>
      </c>
      <c r="K212" t="s">
        <v>369</v>
      </c>
    </row>
    <row r="213" spans="1:11">
      <c r="A213">
        <v>312</v>
      </c>
      <c r="B213" t="s">
        <v>362</v>
      </c>
      <c r="C213">
        <v>43</v>
      </c>
      <c r="D213" t="s">
        <v>370</v>
      </c>
      <c r="E213" t="s">
        <v>371</v>
      </c>
      <c r="F213">
        <v>515.75</v>
      </c>
      <c r="G213">
        <v>9</v>
      </c>
      <c r="H213">
        <v>3.3</v>
      </c>
      <c r="I213" s="6" t="b">
        <v>1</v>
      </c>
      <c r="J213">
        <v>38</v>
      </c>
      <c r="K213" t="s">
        <v>372</v>
      </c>
    </row>
    <row r="214" spans="1:11">
      <c r="A214">
        <v>313</v>
      </c>
      <c r="B214" t="s">
        <v>366</v>
      </c>
      <c r="C214">
        <v>30</v>
      </c>
      <c r="D214" t="s">
        <v>373</v>
      </c>
      <c r="E214" t="s">
        <v>364</v>
      </c>
      <c r="F214">
        <v>1450.5</v>
      </c>
      <c r="G214">
        <v>20</v>
      </c>
      <c r="H214">
        <v>4.8</v>
      </c>
      <c r="I214" s="6" t="b">
        <v>0</v>
      </c>
      <c r="J214">
        <v>12</v>
      </c>
      <c r="K214" t="s">
        <v>365</v>
      </c>
    </row>
    <row r="215" spans="1:11">
      <c r="A215">
        <v>314</v>
      </c>
      <c r="B215" t="s">
        <v>366</v>
      </c>
      <c r="C215">
        <v>27</v>
      </c>
      <c r="D215" t="s">
        <v>374</v>
      </c>
      <c r="E215" t="s">
        <v>368</v>
      </c>
      <c r="F215">
        <v>690.4</v>
      </c>
      <c r="G215">
        <v>13</v>
      </c>
      <c r="H215">
        <v>4.1</v>
      </c>
      <c r="I215" s="6" t="b">
        <v>1</v>
      </c>
      <c r="J215">
        <v>52</v>
      </c>
      <c r="K215" t="s">
        <v>372</v>
      </c>
    </row>
    <row r="216" spans="1:11">
      <c r="A216">
        <v>315</v>
      </c>
      <c r="B216" t="s">
        <v>362</v>
      </c>
      <c r="C216">
        <v>37</v>
      </c>
      <c r="D216" t="s">
        <v>375</v>
      </c>
      <c r="E216" t="s">
        <v>371</v>
      </c>
      <c r="F216">
        <v>420.8</v>
      </c>
      <c r="G216">
        <v>7</v>
      </c>
      <c r="H216">
        <v>3.4</v>
      </c>
      <c r="I216" s="6" t="b">
        <v>0</v>
      </c>
      <c r="J216">
        <v>24</v>
      </c>
      <c r="K216" t="s">
        <v>369</v>
      </c>
    </row>
    <row r="217" spans="1:11">
      <c r="A217">
        <v>316</v>
      </c>
      <c r="B217" t="s">
        <v>362</v>
      </c>
      <c r="C217">
        <v>31</v>
      </c>
      <c r="D217" t="s">
        <v>363</v>
      </c>
      <c r="E217" t="s">
        <v>364</v>
      </c>
      <c r="F217">
        <v>1130.6</v>
      </c>
      <c r="G217">
        <v>15</v>
      </c>
      <c r="H217">
        <v>4.5</v>
      </c>
      <c r="I217" s="6" t="b">
        <v>1</v>
      </c>
      <c r="J217">
        <v>26</v>
      </c>
      <c r="K217" t="s">
        <v>365</v>
      </c>
    </row>
    <row r="218" spans="1:11">
      <c r="A218">
        <v>317</v>
      </c>
      <c r="B218" t="s">
        <v>366</v>
      </c>
      <c r="C218">
        <v>35</v>
      </c>
      <c r="D218" t="s">
        <v>367</v>
      </c>
      <c r="E218" t="s">
        <v>368</v>
      </c>
      <c r="F218">
        <v>820.9</v>
      </c>
      <c r="G218">
        <v>12</v>
      </c>
      <c r="H218">
        <v>4.3</v>
      </c>
      <c r="I218" s="6" t="b">
        <v>0</v>
      </c>
      <c r="J218">
        <v>13</v>
      </c>
      <c r="K218" t="s">
        <v>369</v>
      </c>
    </row>
    <row r="219" spans="1:11">
      <c r="A219">
        <v>318</v>
      </c>
      <c r="B219" t="s">
        <v>362</v>
      </c>
      <c r="C219">
        <v>41</v>
      </c>
      <c r="D219" t="s">
        <v>370</v>
      </c>
      <c r="E219" t="s">
        <v>371</v>
      </c>
      <c r="F219">
        <v>480.25</v>
      </c>
      <c r="G219">
        <v>9</v>
      </c>
      <c r="H219">
        <v>3.6</v>
      </c>
      <c r="I219" s="6" t="b">
        <v>1</v>
      </c>
      <c r="J219">
        <v>39</v>
      </c>
      <c r="K219" t="s">
        <v>372</v>
      </c>
    </row>
    <row r="220" spans="1:11">
      <c r="A220">
        <v>319</v>
      </c>
      <c r="B220" t="s">
        <v>366</v>
      </c>
      <c r="C220">
        <v>28</v>
      </c>
      <c r="D220" t="s">
        <v>373</v>
      </c>
      <c r="E220" t="s">
        <v>364</v>
      </c>
      <c r="F220">
        <v>1490.1</v>
      </c>
      <c r="G220">
        <v>21</v>
      </c>
      <c r="H220">
        <v>4.9</v>
      </c>
      <c r="I220" s="6" t="b">
        <v>0</v>
      </c>
      <c r="J220">
        <v>9</v>
      </c>
      <c r="K220" t="s">
        <v>365</v>
      </c>
    </row>
    <row r="221" spans="1:11">
      <c r="A221">
        <v>320</v>
      </c>
      <c r="B221" t="s">
        <v>366</v>
      </c>
      <c r="C221">
        <v>32</v>
      </c>
      <c r="D221" t="s">
        <v>374</v>
      </c>
      <c r="E221" t="s">
        <v>368</v>
      </c>
      <c r="F221">
        <v>680.3</v>
      </c>
      <c r="G221">
        <v>10</v>
      </c>
      <c r="H221">
        <v>3.8</v>
      </c>
      <c r="I221" s="6" t="b">
        <v>1</v>
      </c>
      <c r="J221">
        <v>32</v>
      </c>
      <c r="K221" t="s">
        <v>372</v>
      </c>
    </row>
    <row r="222" spans="1:11">
      <c r="A222">
        <v>321</v>
      </c>
      <c r="B222" t="s">
        <v>362</v>
      </c>
      <c r="C222">
        <v>36</v>
      </c>
      <c r="D222" t="s">
        <v>375</v>
      </c>
      <c r="E222" t="s">
        <v>371</v>
      </c>
      <c r="F222">
        <v>470.5</v>
      </c>
      <c r="G222">
        <v>8</v>
      </c>
      <c r="H222">
        <v>3</v>
      </c>
      <c r="I222" s="6" t="b">
        <v>0</v>
      </c>
      <c r="J222">
        <v>18</v>
      </c>
      <c r="K222" t="s">
        <v>369</v>
      </c>
    </row>
    <row r="223" spans="1:11">
      <c r="A223">
        <v>322</v>
      </c>
      <c r="B223" t="s">
        <v>362</v>
      </c>
      <c r="C223">
        <v>30</v>
      </c>
      <c r="D223" t="s">
        <v>363</v>
      </c>
      <c r="E223" t="s">
        <v>364</v>
      </c>
      <c r="F223">
        <v>1180.8</v>
      </c>
      <c r="G223">
        <v>16</v>
      </c>
      <c r="H223">
        <v>4.7</v>
      </c>
      <c r="I223" s="6" t="b">
        <v>1</v>
      </c>
      <c r="J223">
        <v>19</v>
      </c>
      <c r="K223" t="s">
        <v>365</v>
      </c>
    </row>
    <row r="224" spans="1:11">
      <c r="A224">
        <v>323</v>
      </c>
      <c r="B224" t="s">
        <v>366</v>
      </c>
      <c r="C224">
        <v>34</v>
      </c>
      <c r="D224" t="s">
        <v>367</v>
      </c>
      <c r="E224" t="s">
        <v>368</v>
      </c>
      <c r="F224">
        <v>790.2</v>
      </c>
      <c r="G224">
        <v>11</v>
      </c>
      <c r="H224">
        <v>4</v>
      </c>
      <c r="I224" s="6" t="b">
        <v>0</v>
      </c>
      <c r="J224">
        <v>15</v>
      </c>
      <c r="K224" t="s">
        <v>369</v>
      </c>
    </row>
    <row r="225" spans="1:11">
      <c r="A225">
        <v>324</v>
      </c>
      <c r="B225" t="s">
        <v>362</v>
      </c>
      <c r="C225">
        <v>43</v>
      </c>
      <c r="D225" t="s">
        <v>370</v>
      </c>
      <c r="E225" t="s">
        <v>371</v>
      </c>
      <c r="F225">
        <v>505.75</v>
      </c>
      <c r="G225">
        <v>10</v>
      </c>
      <c r="H225">
        <v>3.3</v>
      </c>
      <c r="I225" s="6" t="b">
        <v>1</v>
      </c>
      <c r="J225">
        <v>39</v>
      </c>
      <c r="K225" t="s">
        <v>372</v>
      </c>
    </row>
    <row r="226" spans="1:11">
      <c r="A226">
        <v>325</v>
      </c>
      <c r="B226" t="s">
        <v>366</v>
      </c>
      <c r="C226">
        <v>30</v>
      </c>
      <c r="D226" t="s">
        <v>373</v>
      </c>
      <c r="E226" t="s">
        <v>364</v>
      </c>
      <c r="F226">
        <v>1470.5</v>
      </c>
      <c r="G226">
        <v>20</v>
      </c>
      <c r="H226">
        <v>4.8</v>
      </c>
      <c r="I226" s="6" t="b">
        <v>0</v>
      </c>
      <c r="J226">
        <v>13</v>
      </c>
      <c r="K226" t="s">
        <v>365</v>
      </c>
    </row>
    <row r="227" spans="1:11">
      <c r="A227">
        <v>326</v>
      </c>
      <c r="B227" t="s">
        <v>366</v>
      </c>
      <c r="C227">
        <v>27</v>
      </c>
      <c r="D227" t="s">
        <v>374</v>
      </c>
      <c r="E227" t="s">
        <v>368</v>
      </c>
      <c r="F227">
        <v>710.4</v>
      </c>
      <c r="G227">
        <v>13</v>
      </c>
      <c r="H227">
        <v>4.1</v>
      </c>
      <c r="I227" s="6" t="b">
        <v>1</v>
      </c>
      <c r="J227">
        <v>54</v>
      </c>
      <c r="K227" t="s">
        <v>372</v>
      </c>
    </row>
    <row r="228" spans="1:11">
      <c r="A228">
        <v>327</v>
      </c>
      <c r="B228" t="s">
        <v>362</v>
      </c>
      <c r="C228">
        <v>37</v>
      </c>
      <c r="D228" t="s">
        <v>375</v>
      </c>
      <c r="E228" t="s">
        <v>371</v>
      </c>
      <c r="F228">
        <v>430.8</v>
      </c>
      <c r="G228">
        <v>7</v>
      </c>
      <c r="H228">
        <v>3.4</v>
      </c>
      <c r="I228" s="6" t="b">
        <v>0</v>
      </c>
      <c r="J228">
        <v>23</v>
      </c>
      <c r="K228" t="s">
        <v>369</v>
      </c>
    </row>
    <row r="229" spans="1:11">
      <c r="A229">
        <v>328</v>
      </c>
      <c r="B229" t="s">
        <v>362</v>
      </c>
      <c r="C229">
        <v>31</v>
      </c>
      <c r="D229" t="s">
        <v>363</v>
      </c>
      <c r="E229" t="s">
        <v>364</v>
      </c>
      <c r="F229">
        <v>1140.6</v>
      </c>
      <c r="G229">
        <v>15</v>
      </c>
      <c r="H229">
        <v>4.5</v>
      </c>
      <c r="I229" s="6" t="b">
        <v>1</v>
      </c>
      <c r="J229">
        <v>27</v>
      </c>
      <c r="K229" t="s">
        <v>365</v>
      </c>
    </row>
    <row r="230" spans="1:11">
      <c r="A230">
        <v>329</v>
      </c>
      <c r="B230" t="s">
        <v>366</v>
      </c>
      <c r="C230">
        <v>35</v>
      </c>
      <c r="D230" t="s">
        <v>367</v>
      </c>
      <c r="E230" t="s">
        <v>368</v>
      </c>
      <c r="F230">
        <v>820.9</v>
      </c>
      <c r="G230">
        <v>12</v>
      </c>
      <c r="H230">
        <v>4.3</v>
      </c>
      <c r="I230" s="6" t="b">
        <v>0</v>
      </c>
      <c r="J230">
        <v>13</v>
      </c>
      <c r="K230" t="s">
        <v>369</v>
      </c>
    </row>
    <row r="231" spans="1:11">
      <c r="A231">
        <v>330</v>
      </c>
      <c r="B231" t="s">
        <v>362</v>
      </c>
      <c r="C231">
        <v>41</v>
      </c>
      <c r="D231" t="s">
        <v>370</v>
      </c>
      <c r="E231" t="s">
        <v>371</v>
      </c>
      <c r="F231">
        <v>485.25</v>
      </c>
      <c r="G231">
        <v>9</v>
      </c>
      <c r="H231">
        <v>3.6</v>
      </c>
      <c r="I231" s="6" t="b">
        <v>1</v>
      </c>
      <c r="J231">
        <v>39</v>
      </c>
      <c r="K231" t="s">
        <v>372</v>
      </c>
    </row>
    <row r="232" spans="1:11">
      <c r="A232">
        <v>331</v>
      </c>
      <c r="B232" t="s">
        <v>366</v>
      </c>
      <c r="C232">
        <v>28</v>
      </c>
      <c r="D232" t="s">
        <v>373</v>
      </c>
      <c r="E232" t="s">
        <v>364</v>
      </c>
      <c r="F232">
        <v>1500.1</v>
      </c>
      <c r="G232">
        <v>21</v>
      </c>
      <c r="H232">
        <v>4.9</v>
      </c>
      <c r="I232" s="6" t="b">
        <v>0</v>
      </c>
      <c r="J232">
        <v>10</v>
      </c>
      <c r="K232" t="s">
        <v>365</v>
      </c>
    </row>
    <row r="233" spans="1:11">
      <c r="A233">
        <v>332</v>
      </c>
      <c r="B233" t="s">
        <v>366</v>
      </c>
      <c r="C233">
        <v>32</v>
      </c>
      <c r="D233" t="s">
        <v>374</v>
      </c>
      <c r="E233" t="s">
        <v>368</v>
      </c>
      <c r="F233">
        <v>670.3</v>
      </c>
      <c r="G233">
        <v>10</v>
      </c>
      <c r="H233">
        <v>3.8</v>
      </c>
      <c r="I233" s="6" t="b">
        <v>1</v>
      </c>
      <c r="J233">
        <v>33</v>
      </c>
      <c r="K233" t="s">
        <v>372</v>
      </c>
    </row>
    <row r="234" spans="1:11">
      <c r="A234">
        <v>333</v>
      </c>
      <c r="B234" t="s">
        <v>362</v>
      </c>
      <c r="C234">
        <v>36</v>
      </c>
      <c r="D234" t="s">
        <v>375</v>
      </c>
      <c r="E234" t="s">
        <v>371</v>
      </c>
      <c r="F234">
        <v>460.5</v>
      </c>
      <c r="G234">
        <v>8</v>
      </c>
      <c r="H234">
        <v>3.1</v>
      </c>
      <c r="I234" s="6" t="b">
        <v>0</v>
      </c>
      <c r="J234">
        <v>19</v>
      </c>
      <c r="K234" t="s">
        <v>369</v>
      </c>
    </row>
    <row r="235" spans="1:11">
      <c r="A235">
        <v>334</v>
      </c>
      <c r="B235" t="s">
        <v>362</v>
      </c>
      <c r="C235">
        <v>30</v>
      </c>
      <c r="D235" t="s">
        <v>363</v>
      </c>
      <c r="E235" t="s">
        <v>364</v>
      </c>
      <c r="F235">
        <v>1190.8</v>
      </c>
      <c r="G235">
        <v>16</v>
      </c>
      <c r="H235">
        <v>4.5</v>
      </c>
      <c r="I235" s="6" t="b">
        <v>1</v>
      </c>
      <c r="J235">
        <v>20</v>
      </c>
      <c r="K235" t="s">
        <v>365</v>
      </c>
    </row>
    <row r="236" spans="1:11">
      <c r="A236">
        <v>335</v>
      </c>
      <c r="B236" t="s">
        <v>366</v>
      </c>
      <c r="C236">
        <v>33</v>
      </c>
      <c r="D236" t="s">
        <v>367</v>
      </c>
      <c r="E236" t="s">
        <v>368</v>
      </c>
      <c r="F236">
        <v>830.75</v>
      </c>
      <c r="G236">
        <v>13</v>
      </c>
      <c r="H236">
        <v>4.2</v>
      </c>
      <c r="I236" s="6" t="b">
        <v>0</v>
      </c>
      <c r="J236">
        <v>14</v>
      </c>
      <c r="K236" t="s">
        <v>365</v>
      </c>
    </row>
    <row r="237" spans="1:11">
      <c r="A237">
        <v>336</v>
      </c>
      <c r="B237" t="s">
        <v>362</v>
      </c>
      <c r="C237">
        <v>42</v>
      </c>
      <c r="D237" t="s">
        <v>370</v>
      </c>
      <c r="E237" t="s">
        <v>371</v>
      </c>
      <c r="F237">
        <v>520.4</v>
      </c>
      <c r="G237">
        <v>9</v>
      </c>
      <c r="H237">
        <v>3.5</v>
      </c>
      <c r="I237" s="6" t="b">
        <v>1</v>
      </c>
      <c r="J237">
        <v>37</v>
      </c>
      <c r="K237" t="s">
        <v>372</v>
      </c>
    </row>
    <row r="238" spans="1:11">
      <c r="A238">
        <v>337</v>
      </c>
      <c r="B238" t="s">
        <v>366</v>
      </c>
      <c r="C238">
        <v>29</v>
      </c>
      <c r="D238" t="s">
        <v>373</v>
      </c>
      <c r="E238" t="s">
        <v>364</v>
      </c>
      <c r="F238">
        <v>1370.2</v>
      </c>
      <c r="G238">
        <v>18</v>
      </c>
      <c r="H238">
        <v>4.7</v>
      </c>
      <c r="I238" s="6" t="b">
        <v>0</v>
      </c>
      <c r="J238">
        <v>10</v>
      </c>
      <c r="K238" t="s">
        <v>365</v>
      </c>
    </row>
    <row r="239" spans="1:11">
      <c r="A239">
        <v>338</v>
      </c>
      <c r="B239" t="s">
        <v>366</v>
      </c>
      <c r="C239">
        <v>26</v>
      </c>
      <c r="D239" t="s">
        <v>374</v>
      </c>
      <c r="E239" t="s">
        <v>368</v>
      </c>
      <c r="F239">
        <v>690.6</v>
      </c>
      <c r="G239">
        <v>12</v>
      </c>
      <c r="H239">
        <v>3.9</v>
      </c>
      <c r="I239" s="6" t="b">
        <v>1</v>
      </c>
      <c r="J239">
        <v>47</v>
      </c>
      <c r="K239" t="s">
        <v>372</v>
      </c>
    </row>
    <row r="240" spans="1:11">
      <c r="A240">
        <v>339</v>
      </c>
      <c r="B240" t="s">
        <v>362</v>
      </c>
      <c r="C240">
        <v>38</v>
      </c>
      <c r="D240" t="s">
        <v>375</v>
      </c>
      <c r="E240" t="s">
        <v>371</v>
      </c>
      <c r="F240">
        <v>440.9</v>
      </c>
      <c r="G240">
        <v>8</v>
      </c>
      <c r="H240">
        <v>3.2</v>
      </c>
      <c r="I240" s="6" t="b">
        <v>0</v>
      </c>
      <c r="J240">
        <v>24</v>
      </c>
      <c r="K240" t="s">
        <v>369</v>
      </c>
    </row>
    <row r="241" spans="1:11">
      <c r="A241">
        <v>340</v>
      </c>
      <c r="B241" t="s">
        <v>362</v>
      </c>
      <c r="C241">
        <v>32</v>
      </c>
      <c r="D241" t="s">
        <v>363</v>
      </c>
      <c r="E241" t="s">
        <v>364</v>
      </c>
      <c r="F241">
        <v>1160.3</v>
      </c>
      <c r="G241">
        <v>14</v>
      </c>
      <c r="H241">
        <v>4.4</v>
      </c>
      <c r="I241" s="6" t="b">
        <v>1</v>
      </c>
      <c r="J241">
        <v>22</v>
      </c>
      <c r="K241" t="s">
        <v>365</v>
      </c>
    </row>
    <row r="242" spans="1:11">
      <c r="A242">
        <v>341</v>
      </c>
      <c r="B242" t="s">
        <v>366</v>
      </c>
      <c r="C242">
        <v>34</v>
      </c>
      <c r="D242" t="s">
        <v>367</v>
      </c>
      <c r="E242" t="s">
        <v>368</v>
      </c>
      <c r="F242">
        <v>800.2</v>
      </c>
      <c r="G242">
        <v>11</v>
      </c>
      <c r="H242">
        <v>4.1</v>
      </c>
      <c r="I242" s="6" t="b">
        <v>0</v>
      </c>
      <c r="J242">
        <v>17</v>
      </c>
      <c r="K242" t="s">
        <v>369</v>
      </c>
    </row>
    <row r="243" spans="1:11">
      <c r="A243">
        <v>342</v>
      </c>
      <c r="B243" t="s">
        <v>362</v>
      </c>
      <c r="C243">
        <v>43</v>
      </c>
      <c r="D243" t="s">
        <v>370</v>
      </c>
      <c r="E243" t="s">
        <v>371</v>
      </c>
      <c r="F243">
        <v>525.75</v>
      </c>
      <c r="G243">
        <v>9</v>
      </c>
      <c r="H243">
        <v>3.3</v>
      </c>
      <c r="I243" s="6" t="b">
        <v>1</v>
      </c>
      <c r="J243">
        <v>40</v>
      </c>
      <c r="K243" t="s">
        <v>372</v>
      </c>
    </row>
    <row r="244" spans="1:11">
      <c r="A244">
        <v>343</v>
      </c>
      <c r="B244" t="s">
        <v>366</v>
      </c>
      <c r="C244">
        <v>30</v>
      </c>
      <c r="D244" t="s">
        <v>373</v>
      </c>
      <c r="E244" t="s">
        <v>364</v>
      </c>
      <c r="F244">
        <v>1460.5</v>
      </c>
      <c r="G244">
        <v>20</v>
      </c>
      <c r="H244">
        <v>4.8</v>
      </c>
      <c r="I244" s="6" t="b">
        <v>0</v>
      </c>
      <c r="J244">
        <v>11</v>
      </c>
      <c r="K244" t="s">
        <v>365</v>
      </c>
    </row>
    <row r="245" spans="1:11">
      <c r="A245">
        <v>344</v>
      </c>
      <c r="B245" t="s">
        <v>366</v>
      </c>
      <c r="C245">
        <v>27</v>
      </c>
      <c r="D245" t="s">
        <v>374</v>
      </c>
      <c r="E245" t="s">
        <v>368</v>
      </c>
      <c r="F245">
        <v>720.4</v>
      </c>
      <c r="G245">
        <v>13</v>
      </c>
      <c r="H245">
        <v>4</v>
      </c>
      <c r="I245" s="6" t="b">
        <v>1</v>
      </c>
      <c r="J245">
        <v>55</v>
      </c>
      <c r="K245" t="s">
        <v>372</v>
      </c>
    </row>
    <row r="246" spans="1:11">
      <c r="A246">
        <v>345</v>
      </c>
      <c r="B246" t="s">
        <v>362</v>
      </c>
      <c r="C246">
        <v>37</v>
      </c>
      <c r="D246" t="s">
        <v>375</v>
      </c>
      <c r="E246" t="s">
        <v>371</v>
      </c>
      <c r="F246">
        <v>440.8</v>
      </c>
      <c r="G246">
        <v>7</v>
      </c>
      <c r="H246">
        <v>3.2</v>
      </c>
      <c r="I246" s="6" t="b">
        <v>0</v>
      </c>
      <c r="J246">
        <v>25</v>
      </c>
      <c r="K246" t="s">
        <v>369</v>
      </c>
    </row>
    <row r="247" spans="1:11">
      <c r="A247">
        <v>346</v>
      </c>
      <c r="B247" t="s">
        <v>362</v>
      </c>
      <c r="C247">
        <v>31</v>
      </c>
      <c r="D247" t="s">
        <v>363</v>
      </c>
      <c r="E247" t="s">
        <v>364</v>
      </c>
      <c r="F247">
        <v>1150.6</v>
      </c>
      <c r="G247">
        <v>15</v>
      </c>
      <c r="H247">
        <v>4.5</v>
      </c>
      <c r="I247" s="6" t="b">
        <v>1</v>
      </c>
      <c r="J247">
        <v>28</v>
      </c>
      <c r="K247" t="s">
        <v>365</v>
      </c>
    </row>
    <row r="248" spans="1:11">
      <c r="A248">
        <v>347</v>
      </c>
      <c r="B248" t="s">
        <v>366</v>
      </c>
      <c r="C248">
        <v>35</v>
      </c>
      <c r="D248" t="s">
        <v>367</v>
      </c>
      <c r="E248" t="s">
        <v>368</v>
      </c>
      <c r="F248">
        <v>830.9</v>
      </c>
      <c r="G248">
        <v>12</v>
      </c>
      <c r="H248">
        <v>4.3</v>
      </c>
      <c r="I248" s="6" t="b">
        <v>0</v>
      </c>
      <c r="J248">
        <v>14</v>
      </c>
      <c r="K248" t="s">
        <v>369</v>
      </c>
    </row>
    <row r="249" spans="1:11">
      <c r="A249">
        <v>348</v>
      </c>
      <c r="B249" t="s">
        <v>362</v>
      </c>
      <c r="C249">
        <v>41</v>
      </c>
      <c r="D249" t="s">
        <v>370</v>
      </c>
      <c r="E249" t="s">
        <v>371</v>
      </c>
      <c r="F249">
        <v>490.25</v>
      </c>
      <c r="G249">
        <v>9</v>
      </c>
      <c r="H249">
        <v>3.6</v>
      </c>
      <c r="I249" s="6" t="b">
        <v>1</v>
      </c>
      <c r="J249">
        <v>40</v>
      </c>
      <c r="K249" t="s">
        <v>372</v>
      </c>
    </row>
    <row r="250" spans="1:11">
      <c r="A250">
        <v>349</v>
      </c>
      <c r="B250" t="s">
        <v>366</v>
      </c>
      <c r="C250">
        <v>28</v>
      </c>
      <c r="D250" t="s">
        <v>373</v>
      </c>
      <c r="E250" t="s">
        <v>364</v>
      </c>
      <c r="F250">
        <v>1480.1</v>
      </c>
      <c r="G250">
        <v>21</v>
      </c>
      <c r="H250">
        <v>4.9</v>
      </c>
      <c r="I250" s="6" t="b">
        <v>0</v>
      </c>
      <c r="J250">
        <v>10</v>
      </c>
      <c r="K250" t="s">
        <v>365</v>
      </c>
    </row>
    <row r="251" spans="1:11">
      <c r="A251">
        <v>350</v>
      </c>
      <c r="B251" t="s">
        <v>366</v>
      </c>
      <c r="C251">
        <v>32</v>
      </c>
      <c r="D251" t="s">
        <v>374</v>
      </c>
      <c r="E251" t="s">
        <v>368</v>
      </c>
      <c r="F251">
        <v>690.3</v>
      </c>
      <c r="G251">
        <v>10</v>
      </c>
      <c r="H251">
        <v>3.8</v>
      </c>
      <c r="I251" s="6" t="b">
        <v>1</v>
      </c>
      <c r="J251">
        <v>34</v>
      </c>
      <c r="K251" t="s">
        <v>372</v>
      </c>
    </row>
    <row r="252" spans="1:11">
      <c r="A252">
        <v>351</v>
      </c>
      <c r="B252" t="s">
        <v>362</v>
      </c>
      <c r="C252">
        <v>36</v>
      </c>
      <c r="D252" t="s">
        <v>375</v>
      </c>
      <c r="E252" t="s">
        <v>371</v>
      </c>
      <c r="F252">
        <v>480.5</v>
      </c>
      <c r="G252">
        <v>8</v>
      </c>
      <c r="H252">
        <v>3.1</v>
      </c>
      <c r="I252" s="6" t="b">
        <v>0</v>
      </c>
      <c r="J252">
        <v>20</v>
      </c>
      <c r="K252" t="s">
        <v>369</v>
      </c>
    </row>
    <row r="253" spans="1:11">
      <c r="A253">
        <v>352</v>
      </c>
      <c r="B253" t="s">
        <v>362</v>
      </c>
      <c r="C253">
        <v>30</v>
      </c>
      <c r="D253" t="s">
        <v>363</v>
      </c>
      <c r="E253" t="s">
        <v>364</v>
      </c>
      <c r="F253">
        <v>1170.8</v>
      </c>
      <c r="G253">
        <v>16</v>
      </c>
      <c r="H253">
        <v>4.7</v>
      </c>
      <c r="I253" s="6" t="b">
        <v>1</v>
      </c>
      <c r="J253">
        <v>21</v>
      </c>
      <c r="K253" t="s">
        <v>365</v>
      </c>
    </row>
    <row r="254" spans="1:11">
      <c r="A254">
        <v>353</v>
      </c>
      <c r="B254" t="s">
        <v>366</v>
      </c>
      <c r="C254">
        <v>34</v>
      </c>
      <c r="D254" t="s">
        <v>367</v>
      </c>
      <c r="E254" t="s">
        <v>368</v>
      </c>
      <c r="F254">
        <v>790.2</v>
      </c>
      <c r="G254">
        <v>11</v>
      </c>
      <c r="H254">
        <v>4</v>
      </c>
      <c r="I254" s="6" t="b">
        <v>0</v>
      </c>
      <c r="J254">
        <v>15</v>
      </c>
      <c r="K254" t="s">
        <v>369</v>
      </c>
    </row>
    <row r="255" spans="1:11">
      <c r="A255">
        <v>354</v>
      </c>
      <c r="B255" t="s">
        <v>362</v>
      </c>
      <c r="C255">
        <v>43</v>
      </c>
      <c r="D255" t="s">
        <v>370</v>
      </c>
      <c r="E255" t="s">
        <v>371</v>
      </c>
      <c r="F255">
        <v>510.75</v>
      </c>
      <c r="G255">
        <v>10</v>
      </c>
      <c r="H255">
        <v>3.3</v>
      </c>
      <c r="I255" s="6" t="b">
        <v>1</v>
      </c>
      <c r="J255">
        <v>41</v>
      </c>
      <c r="K255" t="s">
        <v>372</v>
      </c>
    </row>
    <row r="256" spans="1:11">
      <c r="A256">
        <v>355</v>
      </c>
      <c r="B256" t="s">
        <v>366</v>
      </c>
      <c r="C256">
        <v>30</v>
      </c>
      <c r="D256" t="s">
        <v>373</v>
      </c>
      <c r="E256" t="s">
        <v>364</v>
      </c>
      <c r="F256">
        <v>1440.5</v>
      </c>
      <c r="G256">
        <v>19</v>
      </c>
      <c r="H256">
        <v>4.6</v>
      </c>
      <c r="I256" s="6" t="b">
        <v>0</v>
      </c>
      <c r="J256">
        <v>12</v>
      </c>
      <c r="K256" t="s">
        <v>365</v>
      </c>
    </row>
    <row r="257" spans="1:11">
      <c r="A257">
        <v>356</v>
      </c>
      <c r="B257" t="s">
        <v>366</v>
      </c>
      <c r="C257">
        <v>27</v>
      </c>
      <c r="D257" t="s">
        <v>374</v>
      </c>
      <c r="E257" t="s">
        <v>368</v>
      </c>
      <c r="F257">
        <v>700.4</v>
      </c>
      <c r="G257">
        <v>13</v>
      </c>
      <c r="H257">
        <v>4.1</v>
      </c>
      <c r="I257" s="6" t="b">
        <v>1</v>
      </c>
      <c r="J257">
        <v>56</v>
      </c>
      <c r="K257" t="s">
        <v>372</v>
      </c>
    </row>
    <row r="258" spans="1:11">
      <c r="A258">
        <v>357</v>
      </c>
      <c r="B258" t="s">
        <v>362</v>
      </c>
      <c r="C258">
        <v>37</v>
      </c>
      <c r="D258" t="s">
        <v>375</v>
      </c>
      <c r="E258" t="s">
        <v>371</v>
      </c>
      <c r="F258">
        <v>410.8</v>
      </c>
      <c r="G258">
        <v>7</v>
      </c>
      <c r="H258">
        <v>3.4</v>
      </c>
      <c r="I258" s="6" t="b">
        <v>0</v>
      </c>
      <c r="J258">
        <v>26</v>
      </c>
      <c r="K258" t="s">
        <v>369</v>
      </c>
    </row>
    <row r="259" spans="1:11">
      <c r="A259">
        <v>358</v>
      </c>
      <c r="B259" t="s">
        <v>362</v>
      </c>
      <c r="C259">
        <v>31</v>
      </c>
      <c r="D259" t="s">
        <v>363</v>
      </c>
      <c r="E259" t="s">
        <v>364</v>
      </c>
      <c r="F259">
        <v>1160.6</v>
      </c>
      <c r="G259">
        <v>15</v>
      </c>
      <c r="H259">
        <v>4.5</v>
      </c>
      <c r="I259" s="6" t="b">
        <v>1</v>
      </c>
      <c r="J259">
        <v>29</v>
      </c>
      <c r="K259" t="s">
        <v>365</v>
      </c>
    </row>
    <row r="260" spans="1:11">
      <c r="A260">
        <v>359</v>
      </c>
      <c r="B260" t="s">
        <v>366</v>
      </c>
      <c r="C260">
        <v>35</v>
      </c>
      <c r="D260" t="s">
        <v>367</v>
      </c>
      <c r="E260" t="s">
        <v>368</v>
      </c>
      <c r="F260">
        <v>810.9</v>
      </c>
      <c r="G260">
        <v>12</v>
      </c>
      <c r="H260">
        <v>4.3</v>
      </c>
      <c r="I260" s="6" t="b">
        <v>0</v>
      </c>
      <c r="J260">
        <v>14</v>
      </c>
      <c r="K260" t="s">
        <v>369</v>
      </c>
    </row>
    <row r="261" spans="1:11">
      <c r="A261">
        <v>360</v>
      </c>
      <c r="B261" t="s">
        <v>362</v>
      </c>
      <c r="C261">
        <v>41</v>
      </c>
      <c r="D261" t="s">
        <v>370</v>
      </c>
      <c r="E261" t="s">
        <v>371</v>
      </c>
      <c r="F261">
        <v>495.25</v>
      </c>
      <c r="G261">
        <v>9</v>
      </c>
      <c r="H261">
        <v>3.6</v>
      </c>
      <c r="I261" s="6" t="b">
        <v>1</v>
      </c>
      <c r="J261">
        <v>41</v>
      </c>
      <c r="K261" t="s">
        <v>372</v>
      </c>
    </row>
    <row r="262" spans="1:11">
      <c r="A262">
        <v>361</v>
      </c>
      <c r="B262" t="s">
        <v>366</v>
      </c>
      <c r="C262">
        <v>28</v>
      </c>
      <c r="D262" t="s">
        <v>373</v>
      </c>
      <c r="E262" t="s">
        <v>364</v>
      </c>
      <c r="F262">
        <v>1490.1</v>
      </c>
      <c r="G262">
        <v>21</v>
      </c>
      <c r="H262">
        <v>4.9</v>
      </c>
      <c r="I262" s="6" t="b">
        <v>0</v>
      </c>
      <c r="J262">
        <v>10</v>
      </c>
      <c r="K262" t="s">
        <v>365</v>
      </c>
    </row>
    <row r="263" spans="1:11">
      <c r="A263">
        <v>362</v>
      </c>
      <c r="B263" t="s">
        <v>366</v>
      </c>
      <c r="C263">
        <v>32</v>
      </c>
      <c r="D263" t="s">
        <v>374</v>
      </c>
      <c r="E263" t="s">
        <v>368</v>
      </c>
      <c r="F263">
        <v>660.3</v>
      </c>
      <c r="G263">
        <v>10</v>
      </c>
      <c r="H263">
        <v>3.8</v>
      </c>
      <c r="I263" s="6" t="b">
        <v>1</v>
      </c>
      <c r="J263">
        <v>35</v>
      </c>
      <c r="K263" t="s">
        <v>372</v>
      </c>
    </row>
    <row r="264" spans="1:11">
      <c r="A264">
        <v>363</v>
      </c>
      <c r="B264" t="s">
        <v>362</v>
      </c>
      <c r="C264">
        <v>36</v>
      </c>
      <c r="D264" t="s">
        <v>375</v>
      </c>
      <c r="E264" t="s">
        <v>371</v>
      </c>
      <c r="F264">
        <v>430.5</v>
      </c>
      <c r="G264">
        <v>8</v>
      </c>
      <c r="H264">
        <v>3.1</v>
      </c>
      <c r="I264" s="6" t="b">
        <v>0</v>
      </c>
      <c r="J264">
        <v>21</v>
      </c>
      <c r="K264" t="s">
        <v>369</v>
      </c>
    </row>
    <row r="265" spans="1:11">
      <c r="A265">
        <v>364</v>
      </c>
      <c r="B265" t="s">
        <v>362</v>
      </c>
      <c r="C265">
        <v>30</v>
      </c>
      <c r="D265" t="s">
        <v>363</v>
      </c>
      <c r="E265" t="s">
        <v>364</v>
      </c>
      <c r="F265">
        <v>1200.8</v>
      </c>
      <c r="G265">
        <v>16</v>
      </c>
      <c r="H265">
        <v>4.7</v>
      </c>
      <c r="I265" s="6" t="b">
        <v>1</v>
      </c>
      <c r="J265">
        <v>22</v>
      </c>
      <c r="K265" t="s">
        <v>365</v>
      </c>
    </row>
    <row r="266" spans="1:11">
      <c r="A266">
        <v>365</v>
      </c>
      <c r="B266" t="s">
        <v>366</v>
      </c>
      <c r="C266">
        <v>34</v>
      </c>
      <c r="D266" t="s">
        <v>367</v>
      </c>
      <c r="E266" t="s">
        <v>368</v>
      </c>
      <c r="F266">
        <v>780.2</v>
      </c>
      <c r="G266">
        <v>11</v>
      </c>
      <c r="H266">
        <v>4.1</v>
      </c>
      <c r="I266" s="6" t="b">
        <v>0</v>
      </c>
      <c r="J266">
        <v>16</v>
      </c>
      <c r="K266" t="s">
        <v>369</v>
      </c>
    </row>
    <row r="267" spans="1:11">
      <c r="A267">
        <v>366</v>
      </c>
      <c r="B267" t="s">
        <v>362</v>
      </c>
      <c r="C267">
        <v>43</v>
      </c>
      <c r="D267" t="s">
        <v>370</v>
      </c>
      <c r="E267" t="s">
        <v>371</v>
      </c>
      <c r="F267">
        <v>505.75</v>
      </c>
      <c r="G267">
        <v>10</v>
      </c>
      <c r="H267">
        <v>3.3</v>
      </c>
      <c r="I267" s="6" t="b">
        <v>1</v>
      </c>
      <c r="J267">
        <v>42</v>
      </c>
      <c r="K267" t="s">
        <v>372</v>
      </c>
    </row>
    <row r="268" spans="1:11">
      <c r="A268">
        <v>367</v>
      </c>
      <c r="B268" t="s">
        <v>366</v>
      </c>
      <c r="C268">
        <v>30</v>
      </c>
      <c r="D268" t="s">
        <v>373</v>
      </c>
      <c r="E268" t="s">
        <v>364</v>
      </c>
      <c r="F268">
        <v>1460.5</v>
      </c>
      <c r="G268">
        <v>20</v>
      </c>
      <c r="H268">
        <v>4.8</v>
      </c>
      <c r="I268" s="6" t="b">
        <v>0</v>
      </c>
      <c r="J268">
        <v>13</v>
      </c>
      <c r="K268" t="s">
        <v>365</v>
      </c>
    </row>
    <row r="269" spans="1:11">
      <c r="A269">
        <v>368</v>
      </c>
      <c r="B269" t="s">
        <v>366</v>
      </c>
      <c r="C269">
        <v>27</v>
      </c>
      <c r="D269" t="s">
        <v>374</v>
      </c>
      <c r="E269" t="s">
        <v>368</v>
      </c>
      <c r="F269">
        <v>710.4</v>
      </c>
      <c r="G269">
        <v>13</v>
      </c>
      <c r="H269">
        <v>4.1</v>
      </c>
      <c r="I269" s="6" t="b">
        <v>1</v>
      </c>
      <c r="J269">
        <v>57</v>
      </c>
      <c r="K269" t="s">
        <v>372</v>
      </c>
    </row>
    <row r="270" spans="1:11">
      <c r="A270">
        <v>369</v>
      </c>
      <c r="B270" t="s">
        <v>362</v>
      </c>
      <c r="C270">
        <v>37</v>
      </c>
      <c r="D270" t="s">
        <v>375</v>
      </c>
      <c r="E270" t="s">
        <v>371</v>
      </c>
      <c r="F270">
        <v>450.8</v>
      </c>
      <c r="G270">
        <v>7</v>
      </c>
      <c r="H270">
        <v>3.4</v>
      </c>
      <c r="I270" s="6" t="b">
        <v>0</v>
      </c>
      <c r="J270">
        <v>24</v>
      </c>
      <c r="K270" t="s">
        <v>369</v>
      </c>
    </row>
    <row r="271" spans="1:11">
      <c r="A271">
        <v>370</v>
      </c>
      <c r="B271" t="s">
        <v>362</v>
      </c>
      <c r="C271">
        <v>31</v>
      </c>
      <c r="D271" t="s">
        <v>363</v>
      </c>
      <c r="E271" t="s">
        <v>364</v>
      </c>
      <c r="F271">
        <v>1140.6</v>
      </c>
      <c r="G271">
        <v>15</v>
      </c>
      <c r="H271">
        <v>4.5</v>
      </c>
      <c r="I271" s="6" t="b">
        <v>1</v>
      </c>
      <c r="J271">
        <v>30</v>
      </c>
      <c r="K271" t="s">
        <v>365</v>
      </c>
    </row>
    <row r="272" spans="1:11">
      <c r="A272">
        <v>371</v>
      </c>
      <c r="B272" t="s">
        <v>366</v>
      </c>
      <c r="C272">
        <v>35</v>
      </c>
      <c r="D272" t="s">
        <v>367</v>
      </c>
      <c r="E272" t="s">
        <v>368</v>
      </c>
      <c r="F272">
        <v>800.9</v>
      </c>
      <c r="G272">
        <v>12</v>
      </c>
      <c r="H272">
        <v>4.1</v>
      </c>
      <c r="I272" s="6" t="b">
        <v>0</v>
      </c>
      <c r="J272">
        <v>17</v>
      </c>
      <c r="K272" t="s">
        <v>369</v>
      </c>
    </row>
    <row r="273" spans="1:11">
      <c r="A273">
        <v>372</v>
      </c>
      <c r="B273" t="s">
        <v>362</v>
      </c>
      <c r="C273">
        <v>41</v>
      </c>
      <c r="D273" t="s">
        <v>370</v>
      </c>
      <c r="E273" t="s">
        <v>371</v>
      </c>
      <c r="F273">
        <v>475.25</v>
      </c>
      <c r="G273">
        <v>9</v>
      </c>
      <c r="H273">
        <v>3.6</v>
      </c>
      <c r="I273" s="6" t="b">
        <v>1</v>
      </c>
      <c r="J273">
        <v>42</v>
      </c>
      <c r="K273" t="s">
        <v>372</v>
      </c>
    </row>
    <row r="274" spans="1:11">
      <c r="A274">
        <v>373</v>
      </c>
      <c r="B274" t="s">
        <v>366</v>
      </c>
      <c r="C274">
        <v>28</v>
      </c>
      <c r="D274" t="s">
        <v>373</v>
      </c>
      <c r="E274" t="s">
        <v>364</v>
      </c>
      <c r="F274">
        <v>1480.1</v>
      </c>
      <c r="G274">
        <v>21</v>
      </c>
      <c r="H274">
        <v>4.9</v>
      </c>
      <c r="I274" s="6" t="b">
        <v>0</v>
      </c>
      <c r="J274">
        <v>11</v>
      </c>
      <c r="K274" t="s">
        <v>365</v>
      </c>
    </row>
    <row r="275" spans="1:11">
      <c r="A275">
        <v>374</v>
      </c>
      <c r="B275" t="s">
        <v>366</v>
      </c>
      <c r="C275">
        <v>32</v>
      </c>
      <c r="D275" t="s">
        <v>374</v>
      </c>
      <c r="E275" t="s">
        <v>368</v>
      </c>
      <c r="F275">
        <v>660.3</v>
      </c>
      <c r="G275">
        <v>10</v>
      </c>
      <c r="H275">
        <v>3.8</v>
      </c>
      <c r="I275" s="6" t="b">
        <v>1</v>
      </c>
      <c r="J275">
        <v>36</v>
      </c>
      <c r="K275" t="s">
        <v>372</v>
      </c>
    </row>
    <row r="276" spans="1:11">
      <c r="A276">
        <v>375</v>
      </c>
      <c r="B276" t="s">
        <v>362</v>
      </c>
      <c r="C276">
        <v>36</v>
      </c>
      <c r="D276" t="s">
        <v>375</v>
      </c>
      <c r="E276" t="s">
        <v>371</v>
      </c>
      <c r="F276">
        <v>470.5</v>
      </c>
      <c r="G276">
        <v>8</v>
      </c>
      <c r="H276">
        <v>3</v>
      </c>
      <c r="I276" s="6" t="b">
        <v>0</v>
      </c>
      <c r="J276">
        <v>22</v>
      </c>
      <c r="K276" t="s">
        <v>369</v>
      </c>
    </row>
    <row r="277" spans="1:11">
      <c r="A277">
        <v>376</v>
      </c>
      <c r="B277" t="s">
        <v>362</v>
      </c>
      <c r="C277">
        <v>30</v>
      </c>
      <c r="D277" t="s">
        <v>363</v>
      </c>
      <c r="E277" t="s">
        <v>364</v>
      </c>
      <c r="F277">
        <v>1190.8</v>
      </c>
      <c r="G277">
        <v>16</v>
      </c>
      <c r="H277">
        <v>4.5</v>
      </c>
      <c r="I277" s="6" t="b">
        <v>1</v>
      </c>
      <c r="J277">
        <v>23</v>
      </c>
      <c r="K277" t="s">
        <v>365</v>
      </c>
    </row>
    <row r="278" spans="1:11">
      <c r="A278">
        <v>377</v>
      </c>
      <c r="B278" t="s">
        <v>366</v>
      </c>
      <c r="C278">
        <v>33</v>
      </c>
      <c r="D278" t="s">
        <v>367</v>
      </c>
      <c r="E278" t="s">
        <v>368</v>
      </c>
      <c r="F278">
        <v>770.2</v>
      </c>
      <c r="G278">
        <v>11</v>
      </c>
      <c r="H278">
        <v>4.2</v>
      </c>
      <c r="I278" s="6" t="b">
        <v>0</v>
      </c>
      <c r="J278">
        <v>18</v>
      </c>
      <c r="K278" t="s">
        <v>369</v>
      </c>
    </row>
    <row r="279" spans="1:11">
      <c r="A279">
        <v>378</v>
      </c>
      <c r="B279" t="s">
        <v>362</v>
      </c>
      <c r="C279">
        <v>43</v>
      </c>
      <c r="D279" t="s">
        <v>370</v>
      </c>
      <c r="E279" t="s">
        <v>371</v>
      </c>
      <c r="F279">
        <v>515.75</v>
      </c>
      <c r="G279">
        <v>10</v>
      </c>
      <c r="H279">
        <v>3.3</v>
      </c>
      <c r="I279" s="6" t="b">
        <v>1</v>
      </c>
      <c r="J279">
        <v>43</v>
      </c>
      <c r="K279" t="s">
        <v>372</v>
      </c>
    </row>
    <row r="280" spans="1:11">
      <c r="A280">
        <v>379</v>
      </c>
      <c r="B280" t="s">
        <v>366</v>
      </c>
      <c r="C280">
        <v>30</v>
      </c>
      <c r="D280" t="s">
        <v>373</v>
      </c>
      <c r="E280" t="s">
        <v>364</v>
      </c>
      <c r="F280">
        <v>1450.5</v>
      </c>
      <c r="G280">
        <v>19</v>
      </c>
      <c r="H280">
        <v>4.6</v>
      </c>
      <c r="I280" s="6" t="b">
        <v>0</v>
      </c>
      <c r="J280">
        <v>12</v>
      </c>
      <c r="K280" t="s">
        <v>365</v>
      </c>
    </row>
    <row r="281" spans="1:11">
      <c r="A281">
        <v>380</v>
      </c>
      <c r="B281" t="s">
        <v>366</v>
      </c>
      <c r="C281">
        <v>27</v>
      </c>
      <c r="D281" t="s">
        <v>374</v>
      </c>
      <c r="E281" t="s">
        <v>368</v>
      </c>
      <c r="F281">
        <v>710.4</v>
      </c>
      <c r="G281">
        <v>13</v>
      </c>
      <c r="H281">
        <v>4.1</v>
      </c>
      <c r="I281" s="6" t="b">
        <v>1</v>
      </c>
      <c r="J281">
        <v>58</v>
      </c>
      <c r="K281" t="s">
        <v>372</v>
      </c>
    </row>
    <row r="282" spans="1:11">
      <c r="A282">
        <v>381</v>
      </c>
      <c r="B282" t="s">
        <v>362</v>
      </c>
      <c r="C282">
        <v>37</v>
      </c>
      <c r="D282" t="s">
        <v>375</v>
      </c>
      <c r="E282" t="s">
        <v>371</v>
      </c>
      <c r="F282">
        <v>430.8</v>
      </c>
      <c r="G282">
        <v>7</v>
      </c>
      <c r="H282">
        <v>3.4</v>
      </c>
      <c r="I282" s="6" t="b">
        <v>0</v>
      </c>
      <c r="J282">
        <v>27</v>
      </c>
      <c r="K282" t="s">
        <v>369</v>
      </c>
    </row>
    <row r="283" spans="1:11">
      <c r="A283">
        <v>382</v>
      </c>
      <c r="B283" t="s">
        <v>362</v>
      </c>
      <c r="C283">
        <v>31</v>
      </c>
      <c r="D283" t="s">
        <v>363</v>
      </c>
      <c r="E283" t="s">
        <v>364</v>
      </c>
      <c r="F283">
        <v>1160.6</v>
      </c>
      <c r="G283">
        <v>15</v>
      </c>
      <c r="H283">
        <v>4.5</v>
      </c>
      <c r="I283" s="6" t="b">
        <v>1</v>
      </c>
      <c r="J283">
        <v>31</v>
      </c>
      <c r="K283" t="s">
        <v>365</v>
      </c>
    </row>
    <row r="284" spans="1:11">
      <c r="A284">
        <v>383</v>
      </c>
      <c r="B284" t="s">
        <v>366</v>
      </c>
      <c r="C284">
        <v>35</v>
      </c>
      <c r="D284" t="s">
        <v>367</v>
      </c>
      <c r="E284" t="s">
        <v>368</v>
      </c>
      <c r="F284">
        <v>820.9</v>
      </c>
      <c r="G284">
        <v>12</v>
      </c>
      <c r="H284">
        <v>4.3</v>
      </c>
      <c r="I284" s="6" t="b">
        <v>0</v>
      </c>
      <c r="J284">
        <v>15</v>
      </c>
      <c r="K284" t="s">
        <v>369</v>
      </c>
    </row>
    <row r="285" spans="1:11">
      <c r="A285">
        <v>384</v>
      </c>
      <c r="B285" t="s">
        <v>362</v>
      </c>
      <c r="C285">
        <v>41</v>
      </c>
      <c r="D285" t="s">
        <v>370</v>
      </c>
      <c r="E285" t="s">
        <v>371</v>
      </c>
      <c r="F285">
        <v>495.25</v>
      </c>
      <c r="G285">
        <v>9</v>
      </c>
      <c r="H285">
        <v>3.6</v>
      </c>
      <c r="I285" s="6" t="b">
        <v>1</v>
      </c>
      <c r="J285">
        <v>43</v>
      </c>
      <c r="K285" t="s">
        <v>372</v>
      </c>
    </row>
    <row r="286" spans="1:11">
      <c r="A286">
        <v>385</v>
      </c>
      <c r="B286" t="s">
        <v>366</v>
      </c>
      <c r="C286">
        <v>28</v>
      </c>
      <c r="D286" t="s">
        <v>373</v>
      </c>
      <c r="E286" t="s">
        <v>364</v>
      </c>
      <c r="F286">
        <v>1490.1</v>
      </c>
      <c r="G286">
        <v>21</v>
      </c>
      <c r="H286">
        <v>4.9</v>
      </c>
      <c r="I286" s="6" t="b">
        <v>0</v>
      </c>
      <c r="J286">
        <v>10</v>
      </c>
      <c r="K286" t="s">
        <v>365</v>
      </c>
    </row>
    <row r="287" spans="1:11">
      <c r="A287">
        <v>386</v>
      </c>
      <c r="B287" t="s">
        <v>366</v>
      </c>
      <c r="C287">
        <v>32</v>
      </c>
      <c r="D287" t="s">
        <v>374</v>
      </c>
      <c r="E287" t="s">
        <v>368</v>
      </c>
      <c r="F287">
        <v>660.3</v>
      </c>
      <c r="G287">
        <v>10</v>
      </c>
      <c r="H287">
        <v>3.8</v>
      </c>
      <c r="I287" s="6" t="b">
        <v>1</v>
      </c>
      <c r="J287">
        <v>37</v>
      </c>
      <c r="K287" t="s">
        <v>372</v>
      </c>
    </row>
    <row r="288" spans="1:11">
      <c r="A288">
        <v>387</v>
      </c>
      <c r="B288" t="s">
        <v>362</v>
      </c>
      <c r="C288">
        <v>36</v>
      </c>
      <c r="D288" t="s">
        <v>375</v>
      </c>
      <c r="E288" t="s">
        <v>371</v>
      </c>
      <c r="F288">
        <v>440.5</v>
      </c>
      <c r="G288">
        <v>8</v>
      </c>
      <c r="H288">
        <v>3.1</v>
      </c>
      <c r="I288" s="6" t="b">
        <v>0</v>
      </c>
      <c r="J288">
        <v>23</v>
      </c>
      <c r="K288" t="s">
        <v>369</v>
      </c>
    </row>
    <row r="289" spans="1:11">
      <c r="A289">
        <v>388</v>
      </c>
      <c r="B289" t="s">
        <v>362</v>
      </c>
      <c r="C289">
        <v>30</v>
      </c>
      <c r="D289" t="s">
        <v>363</v>
      </c>
      <c r="E289" t="s">
        <v>364</v>
      </c>
      <c r="F289">
        <v>1200.8</v>
      </c>
      <c r="G289">
        <v>16</v>
      </c>
      <c r="H289">
        <v>4.7</v>
      </c>
      <c r="I289" s="6" t="b">
        <v>1</v>
      </c>
      <c r="J289">
        <v>24</v>
      </c>
      <c r="K289" t="s">
        <v>365</v>
      </c>
    </row>
    <row r="290" spans="1:11">
      <c r="A290">
        <v>389</v>
      </c>
      <c r="B290" t="s">
        <v>366</v>
      </c>
      <c r="C290">
        <v>34</v>
      </c>
      <c r="D290" t="s">
        <v>367</v>
      </c>
      <c r="E290" t="s">
        <v>368</v>
      </c>
      <c r="F290">
        <v>780.2</v>
      </c>
      <c r="G290">
        <v>11</v>
      </c>
      <c r="H290">
        <v>4.1</v>
      </c>
      <c r="I290" s="6" t="b">
        <v>0</v>
      </c>
      <c r="J290">
        <v>16</v>
      </c>
      <c r="K290" t="s">
        <v>369</v>
      </c>
    </row>
    <row r="291" spans="1:11">
      <c r="A291">
        <v>390</v>
      </c>
      <c r="B291" t="s">
        <v>362</v>
      </c>
      <c r="C291">
        <v>43</v>
      </c>
      <c r="D291" t="s">
        <v>370</v>
      </c>
      <c r="E291" t="s">
        <v>371</v>
      </c>
      <c r="F291">
        <v>505.75</v>
      </c>
      <c r="G291">
        <v>10</v>
      </c>
      <c r="H291">
        <v>3.3</v>
      </c>
      <c r="I291" s="6" t="b">
        <v>1</v>
      </c>
      <c r="J291">
        <v>44</v>
      </c>
      <c r="K291" t="s">
        <v>372</v>
      </c>
    </row>
    <row r="292" spans="1:11">
      <c r="A292">
        <v>391</v>
      </c>
      <c r="B292" t="s">
        <v>366</v>
      </c>
      <c r="C292">
        <v>30</v>
      </c>
      <c r="D292" t="s">
        <v>373</v>
      </c>
      <c r="E292" t="s">
        <v>364</v>
      </c>
      <c r="F292">
        <v>1460.5</v>
      </c>
      <c r="G292">
        <v>20</v>
      </c>
      <c r="H292">
        <v>4.8</v>
      </c>
      <c r="I292" s="6" t="b">
        <v>0</v>
      </c>
      <c r="J292">
        <v>13</v>
      </c>
      <c r="K292" t="s">
        <v>365</v>
      </c>
    </row>
    <row r="293" spans="1:11">
      <c r="A293">
        <v>392</v>
      </c>
      <c r="B293" t="s">
        <v>366</v>
      </c>
      <c r="C293">
        <v>27</v>
      </c>
      <c r="D293" t="s">
        <v>374</v>
      </c>
      <c r="E293" t="s">
        <v>368</v>
      </c>
      <c r="F293">
        <v>710.4</v>
      </c>
      <c r="G293">
        <v>13</v>
      </c>
      <c r="H293">
        <v>4.1</v>
      </c>
      <c r="I293" s="6" t="b">
        <v>1</v>
      </c>
      <c r="J293">
        <v>59</v>
      </c>
      <c r="K293" t="s">
        <v>372</v>
      </c>
    </row>
    <row r="294" spans="1:11">
      <c r="A294">
        <v>393</v>
      </c>
      <c r="B294" t="s">
        <v>362</v>
      </c>
      <c r="C294">
        <v>37</v>
      </c>
      <c r="D294" t="s">
        <v>375</v>
      </c>
      <c r="E294" t="s">
        <v>371</v>
      </c>
      <c r="F294">
        <v>450.8</v>
      </c>
      <c r="G294">
        <v>7</v>
      </c>
      <c r="H294">
        <v>3.4</v>
      </c>
      <c r="I294" s="6" t="b">
        <v>0</v>
      </c>
      <c r="J294">
        <v>28</v>
      </c>
      <c r="K294" t="s">
        <v>369</v>
      </c>
    </row>
    <row r="295" spans="1:11">
      <c r="A295">
        <v>394</v>
      </c>
      <c r="B295" t="s">
        <v>362</v>
      </c>
      <c r="C295">
        <v>31</v>
      </c>
      <c r="D295" t="s">
        <v>363</v>
      </c>
      <c r="E295" t="s">
        <v>364</v>
      </c>
      <c r="F295">
        <v>1140.6</v>
      </c>
      <c r="G295">
        <v>15</v>
      </c>
      <c r="H295">
        <v>4.5</v>
      </c>
      <c r="I295" s="6" t="b">
        <v>1</v>
      </c>
      <c r="J295">
        <v>32</v>
      </c>
      <c r="K295" t="s">
        <v>365</v>
      </c>
    </row>
    <row r="296" spans="1:11">
      <c r="A296">
        <v>395</v>
      </c>
      <c r="B296" t="s">
        <v>366</v>
      </c>
      <c r="C296">
        <v>35</v>
      </c>
      <c r="D296" t="s">
        <v>367</v>
      </c>
      <c r="E296" t="s">
        <v>368</v>
      </c>
      <c r="F296">
        <v>800.9</v>
      </c>
      <c r="G296">
        <v>12</v>
      </c>
      <c r="H296">
        <v>4.1</v>
      </c>
      <c r="I296" s="6" t="b">
        <v>0</v>
      </c>
      <c r="J296">
        <v>17</v>
      </c>
      <c r="K296" t="s">
        <v>369</v>
      </c>
    </row>
    <row r="297" spans="1:11">
      <c r="A297">
        <v>396</v>
      </c>
      <c r="B297" t="s">
        <v>362</v>
      </c>
      <c r="C297">
        <v>41</v>
      </c>
      <c r="D297" t="s">
        <v>370</v>
      </c>
      <c r="E297" t="s">
        <v>371</v>
      </c>
      <c r="F297">
        <v>475.25</v>
      </c>
      <c r="G297">
        <v>9</v>
      </c>
      <c r="H297">
        <v>3.6</v>
      </c>
      <c r="I297" s="6" t="b">
        <v>1</v>
      </c>
      <c r="J297">
        <v>44</v>
      </c>
      <c r="K297" t="s">
        <v>372</v>
      </c>
    </row>
    <row r="298" spans="1:11">
      <c r="A298">
        <v>397</v>
      </c>
      <c r="B298" t="s">
        <v>366</v>
      </c>
      <c r="C298">
        <v>28</v>
      </c>
      <c r="D298" t="s">
        <v>373</v>
      </c>
      <c r="E298" t="s">
        <v>364</v>
      </c>
      <c r="F298">
        <v>1480.1</v>
      </c>
      <c r="G298">
        <v>21</v>
      </c>
      <c r="H298">
        <v>4.9</v>
      </c>
      <c r="I298" s="6" t="b">
        <v>0</v>
      </c>
      <c r="J298">
        <v>12</v>
      </c>
      <c r="K298" t="s">
        <v>365</v>
      </c>
    </row>
    <row r="299" spans="1:11">
      <c r="A299">
        <v>398</v>
      </c>
      <c r="B299" t="s">
        <v>366</v>
      </c>
      <c r="C299">
        <v>32</v>
      </c>
      <c r="D299" t="s">
        <v>374</v>
      </c>
      <c r="E299" t="s">
        <v>368</v>
      </c>
      <c r="F299">
        <v>660.3</v>
      </c>
      <c r="G299">
        <v>10</v>
      </c>
      <c r="H299">
        <v>3.8</v>
      </c>
      <c r="I299" s="6" t="b">
        <v>1</v>
      </c>
      <c r="J299">
        <v>38</v>
      </c>
      <c r="K299" t="s">
        <v>372</v>
      </c>
    </row>
    <row r="300" spans="1:11">
      <c r="A300">
        <v>399</v>
      </c>
      <c r="B300" t="s">
        <v>362</v>
      </c>
      <c r="C300">
        <v>36</v>
      </c>
      <c r="D300" t="s">
        <v>375</v>
      </c>
      <c r="E300" t="s">
        <v>371</v>
      </c>
      <c r="F300">
        <v>470.5</v>
      </c>
      <c r="G300">
        <v>8</v>
      </c>
      <c r="H300">
        <v>3</v>
      </c>
      <c r="I300" s="6" t="b">
        <v>0</v>
      </c>
      <c r="J300">
        <v>22</v>
      </c>
      <c r="K300" t="s">
        <v>369</v>
      </c>
    </row>
    <row r="301" spans="1:11">
      <c r="A301">
        <v>400</v>
      </c>
      <c r="B301" t="s">
        <v>362</v>
      </c>
      <c r="C301">
        <v>30</v>
      </c>
      <c r="D301" t="s">
        <v>363</v>
      </c>
      <c r="E301" t="s">
        <v>364</v>
      </c>
      <c r="F301">
        <v>1190.8</v>
      </c>
      <c r="G301">
        <v>16</v>
      </c>
      <c r="H301">
        <v>4.5</v>
      </c>
      <c r="I301" s="6" t="b">
        <v>1</v>
      </c>
      <c r="J301">
        <v>25</v>
      </c>
      <c r="K301" t="s">
        <v>365</v>
      </c>
    </row>
    <row r="302" spans="1:11">
      <c r="A302">
        <v>401</v>
      </c>
      <c r="B302" t="s">
        <v>366</v>
      </c>
      <c r="C302">
        <v>33</v>
      </c>
      <c r="D302" t="s">
        <v>367</v>
      </c>
      <c r="E302" t="s">
        <v>368</v>
      </c>
      <c r="F302">
        <v>800.2</v>
      </c>
      <c r="G302">
        <v>11</v>
      </c>
      <c r="H302">
        <v>4.1</v>
      </c>
      <c r="I302" s="6" t="b">
        <v>0</v>
      </c>
      <c r="J302">
        <v>18</v>
      </c>
      <c r="K302" t="s">
        <v>369</v>
      </c>
    </row>
    <row r="303" spans="1:11">
      <c r="A303">
        <v>402</v>
      </c>
      <c r="B303" t="s">
        <v>362</v>
      </c>
      <c r="C303">
        <v>43</v>
      </c>
      <c r="D303" t="s">
        <v>370</v>
      </c>
      <c r="E303" t="s">
        <v>371</v>
      </c>
      <c r="F303">
        <v>515.75</v>
      </c>
      <c r="G303">
        <v>10</v>
      </c>
      <c r="H303">
        <v>3.3</v>
      </c>
      <c r="I303" s="6" t="b">
        <v>1</v>
      </c>
      <c r="J303">
        <v>45</v>
      </c>
      <c r="K303" t="s">
        <v>372</v>
      </c>
    </row>
    <row r="304" spans="1:11">
      <c r="A304">
        <v>403</v>
      </c>
      <c r="B304" t="s">
        <v>366</v>
      </c>
      <c r="C304">
        <v>30</v>
      </c>
      <c r="D304" t="s">
        <v>373</v>
      </c>
      <c r="E304" t="s">
        <v>364</v>
      </c>
      <c r="F304">
        <v>1450.5</v>
      </c>
      <c r="G304">
        <v>19</v>
      </c>
      <c r="H304">
        <v>4.6</v>
      </c>
      <c r="I304" s="6" t="b">
        <v>0</v>
      </c>
      <c r="J304">
        <v>13</v>
      </c>
      <c r="K304" t="s">
        <v>365</v>
      </c>
    </row>
    <row r="305" spans="1:11">
      <c r="A305">
        <v>404</v>
      </c>
      <c r="B305" t="s">
        <v>366</v>
      </c>
      <c r="C305">
        <v>27</v>
      </c>
      <c r="D305" t="s">
        <v>374</v>
      </c>
      <c r="E305" t="s">
        <v>368</v>
      </c>
      <c r="F305">
        <v>710.4</v>
      </c>
      <c r="G305">
        <v>13</v>
      </c>
      <c r="H305">
        <v>4.1</v>
      </c>
      <c r="I305" s="6" t="b">
        <v>1</v>
      </c>
      <c r="J305">
        <v>60</v>
      </c>
      <c r="K305" t="s">
        <v>372</v>
      </c>
    </row>
    <row r="306" spans="1:11">
      <c r="A306">
        <v>405</v>
      </c>
      <c r="B306" t="s">
        <v>362</v>
      </c>
      <c r="C306">
        <v>37</v>
      </c>
      <c r="D306" t="s">
        <v>375</v>
      </c>
      <c r="E306" t="s">
        <v>371</v>
      </c>
      <c r="F306">
        <v>430.8</v>
      </c>
      <c r="G306">
        <v>7</v>
      </c>
      <c r="H306">
        <v>3.4</v>
      </c>
      <c r="I306" s="6" t="b">
        <v>0</v>
      </c>
      <c r="J306">
        <v>29</v>
      </c>
      <c r="K306" t="s">
        <v>369</v>
      </c>
    </row>
    <row r="307" spans="1:11">
      <c r="A307">
        <v>406</v>
      </c>
      <c r="B307" t="s">
        <v>362</v>
      </c>
      <c r="C307">
        <v>31</v>
      </c>
      <c r="D307" t="s">
        <v>363</v>
      </c>
      <c r="E307" t="s">
        <v>364</v>
      </c>
      <c r="F307">
        <v>1160.6</v>
      </c>
      <c r="G307">
        <v>15</v>
      </c>
      <c r="H307">
        <v>4.5</v>
      </c>
      <c r="I307" s="6" t="b">
        <v>1</v>
      </c>
      <c r="J307">
        <v>33</v>
      </c>
      <c r="K307" t="s">
        <v>365</v>
      </c>
    </row>
    <row r="308" spans="1:11">
      <c r="A308">
        <v>407</v>
      </c>
      <c r="B308" t="s">
        <v>366</v>
      </c>
      <c r="C308">
        <v>35</v>
      </c>
      <c r="D308" t="s">
        <v>367</v>
      </c>
      <c r="E308" t="s">
        <v>368</v>
      </c>
      <c r="F308">
        <v>820.9</v>
      </c>
      <c r="G308">
        <v>12</v>
      </c>
      <c r="H308">
        <v>4.3</v>
      </c>
      <c r="I308" s="6" t="b">
        <v>0</v>
      </c>
      <c r="J308">
        <v>16</v>
      </c>
      <c r="K308" t="s">
        <v>369</v>
      </c>
    </row>
    <row r="309" spans="1:11">
      <c r="A309">
        <v>408</v>
      </c>
      <c r="B309" t="s">
        <v>362</v>
      </c>
      <c r="C309">
        <v>41</v>
      </c>
      <c r="D309" t="s">
        <v>370</v>
      </c>
      <c r="E309" t="s">
        <v>371</v>
      </c>
      <c r="F309">
        <v>495.25</v>
      </c>
      <c r="G309">
        <v>9</v>
      </c>
      <c r="H309">
        <v>3.6</v>
      </c>
      <c r="I309" s="6" t="b">
        <v>1</v>
      </c>
      <c r="J309">
        <v>45</v>
      </c>
      <c r="K309" t="s">
        <v>372</v>
      </c>
    </row>
    <row r="310" spans="1:11">
      <c r="A310">
        <v>409</v>
      </c>
      <c r="B310" t="s">
        <v>366</v>
      </c>
      <c r="C310">
        <v>28</v>
      </c>
      <c r="D310" t="s">
        <v>373</v>
      </c>
      <c r="E310" t="s">
        <v>364</v>
      </c>
      <c r="F310">
        <v>1490.1</v>
      </c>
      <c r="G310">
        <v>21</v>
      </c>
      <c r="H310">
        <v>4.9</v>
      </c>
      <c r="I310" s="6" t="b">
        <v>0</v>
      </c>
      <c r="J310">
        <v>11</v>
      </c>
      <c r="K310" t="s">
        <v>365</v>
      </c>
    </row>
    <row r="311" spans="1:11">
      <c r="A311">
        <v>410</v>
      </c>
      <c r="B311" t="s">
        <v>366</v>
      </c>
      <c r="C311">
        <v>32</v>
      </c>
      <c r="D311" t="s">
        <v>374</v>
      </c>
      <c r="E311" t="s">
        <v>368</v>
      </c>
      <c r="F311">
        <v>660.3</v>
      </c>
      <c r="G311">
        <v>10</v>
      </c>
      <c r="H311">
        <v>3.8</v>
      </c>
      <c r="I311" s="6" t="b">
        <v>1</v>
      </c>
      <c r="J311">
        <v>39</v>
      </c>
      <c r="K311" t="s">
        <v>372</v>
      </c>
    </row>
    <row r="312" spans="1:11">
      <c r="A312">
        <v>411</v>
      </c>
      <c r="B312" t="s">
        <v>362</v>
      </c>
      <c r="C312">
        <v>36</v>
      </c>
      <c r="D312" t="s">
        <v>375</v>
      </c>
      <c r="E312" t="s">
        <v>371</v>
      </c>
      <c r="F312">
        <v>440.5</v>
      </c>
      <c r="G312">
        <v>8</v>
      </c>
      <c r="H312">
        <v>3.1</v>
      </c>
      <c r="I312" s="6" t="b">
        <v>0</v>
      </c>
      <c r="J312">
        <v>24</v>
      </c>
      <c r="K312" t="s">
        <v>369</v>
      </c>
    </row>
    <row r="313" spans="1:11">
      <c r="A313">
        <v>412</v>
      </c>
      <c r="B313" t="s">
        <v>362</v>
      </c>
      <c r="C313">
        <v>30</v>
      </c>
      <c r="D313" t="s">
        <v>363</v>
      </c>
      <c r="E313" t="s">
        <v>364</v>
      </c>
      <c r="F313">
        <v>1200.8</v>
      </c>
      <c r="G313">
        <v>16</v>
      </c>
      <c r="H313">
        <v>4.7</v>
      </c>
      <c r="I313" s="6" t="b">
        <v>1</v>
      </c>
      <c r="J313">
        <v>25</v>
      </c>
      <c r="K313" t="s">
        <v>365</v>
      </c>
    </row>
    <row r="314" spans="1:11">
      <c r="A314">
        <v>413</v>
      </c>
      <c r="B314" t="s">
        <v>366</v>
      </c>
      <c r="C314">
        <v>34</v>
      </c>
      <c r="D314" t="s">
        <v>367</v>
      </c>
      <c r="E314" t="s">
        <v>368</v>
      </c>
      <c r="F314">
        <v>780.2</v>
      </c>
      <c r="G314">
        <v>11</v>
      </c>
      <c r="H314">
        <v>4.1</v>
      </c>
      <c r="I314" s="6" t="b">
        <v>0</v>
      </c>
      <c r="J314">
        <v>17</v>
      </c>
      <c r="K314" t="s">
        <v>369</v>
      </c>
    </row>
    <row r="315" spans="1:11">
      <c r="A315">
        <v>414</v>
      </c>
      <c r="B315" t="s">
        <v>362</v>
      </c>
      <c r="C315">
        <v>43</v>
      </c>
      <c r="D315" t="s">
        <v>370</v>
      </c>
      <c r="E315" t="s">
        <v>371</v>
      </c>
      <c r="F315">
        <v>505.75</v>
      </c>
      <c r="G315">
        <v>10</v>
      </c>
      <c r="H315">
        <v>3.3</v>
      </c>
      <c r="I315" s="6" t="b">
        <v>1</v>
      </c>
      <c r="J315">
        <v>46</v>
      </c>
      <c r="K315" t="s">
        <v>372</v>
      </c>
    </row>
    <row r="316" spans="1:11">
      <c r="A316">
        <v>415</v>
      </c>
      <c r="B316" t="s">
        <v>366</v>
      </c>
      <c r="C316">
        <v>30</v>
      </c>
      <c r="D316" t="s">
        <v>373</v>
      </c>
      <c r="E316" t="s">
        <v>364</v>
      </c>
      <c r="F316">
        <v>1460.5</v>
      </c>
      <c r="G316">
        <v>20</v>
      </c>
      <c r="H316">
        <v>4.8</v>
      </c>
      <c r="I316" s="6" t="b">
        <v>0</v>
      </c>
      <c r="J316">
        <v>14</v>
      </c>
      <c r="K316" t="s">
        <v>365</v>
      </c>
    </row>
    <row r="317" spans="1:11">
      <c r="A317">
        <v>416</v>
      </c>
      <c r="B317" t="s">
        <v>366</v>
      </c>
      <c r="C317">
        <v>27</v>
      </c>
      <c r="D317" t="s">
        <v>374</v>
      </c>
      <c r="E317" t="s">
        <v>368</v>
      </c>
      <c r="F317">
        <v>710.4</v>
      </c>
      <c r="G317">
        <v>13</v>
      </c>
      <c r="H317">
        <v>4.1</v>
      </c>
      <c r="I317" s="6" t="b">
        <v>1</v>
      </c>
      <c r="J317">
        <v>61</v>
      </c>
      <c r="K317" t="s">
        <v>372</v>
      </c>
    </row>
    <row r="318" spans="1:11">
      <c r="A318">
        <v>417</v>
      </c>
      <c r="B318" t="s">
        <v>362</v>
      </c>
      <c r="C318">
        <v>37</v>
      </c>
      <c r="D318" t="s">
        <v>375</v>
      </c>
      <c r="E318" t="s">
        <v>371</v>
      </c>
      <c r="F318">
        <v>450.8</v>
      </c>
      <c r="G318">
        <v>7</v>
      </c>
      <c r="H318">
        <v>3.4</v>
      </c>
      <c r="I318" s="6" t="b">
        <v>0</v>
      </c>
      <c r="J318">
        <v>30</v>
      </c>
      <c r="K318" t="s">
        <v>369</v>
      </c>
    </row>
    <row r="319" spans="1:11">
      <c r="A319">
        <v>418</v>
      </c>
      <c r="B319" t="s">
        <v>362</v>
      </c>
      <c r="C319">
        <v>31</v>
      </c>
      <c r="D319" t="s">
        <v>363</v>
      </c>
      <c r="E319" t="s">
        <v>364</v>
      </c>
      <c r="F319">
        <v>1140.6</v>
      </c>
      <c r="G319">
        <v>15</v>
      </c>
      <c r="H319">
        <v>4.5</v>
      </c>
      <c r="I319" s="6" t="b">
        <v>1</v>
      </c>
      <c r="J319">
        <v>34</v>
      </c>
      <c r="K319" t="s">
        <v>365</v>
      </c>
    </row>
    <row r="320" spans="1:11">
      <c r="A320">
        <v>419</v>
      </c>
      <c r="B320" t="s">
        <v>366</v>
      </c>
      <c r="C320">
        <v>35</v>
      </c>
      <c r="D320" t="s">
        <v>367</v>
      </c>
      <c r="E320" t="s">
        <v>368</v>
      </c>
      <c r="F320">
        <v>800.9</v>
      </c>
      <c r="G320">
        <v>12</v>
      </c>
      <c r="H320">
        <v>4.1</v>
      </c>
      <c r="I320" s="6" t="b">
        <v>0</v>
      </c>
      <c r="J320">
        <v>19</v>
      </c>
      <c r="K320" t="s">
        <v>369</v>
      </c>
    </row>
    <row r="321" spans="1:11">
      <c r="A321">
        <v>420</v>
      </c>
      <c r="B321" t="s">
        <v>362</v>
      </c>
      <c r="C321">
        <v>41</v>
      </c>
      <c r="D321" t="s">
        <v>370</v>
      </c>
      <c r="E321" t="s">
        <v>371</v>
      </c>
      <c r="F321">
        <v>475.25</v>
      </c>
      <c r="G321">
        <v>9</v>
      </c>
      <c r="H321">
        <v>3.6</v>
      </c>
      <c r="I321" s="6" t="b">
        <v>1</v>
      </c>
      <c r="J321">
        <v>46</v>
      </c>
      <c r="K321" t="s">
        <v>372</v>
      </c>
    </row>
    <row r="322" spans="1:11">
      <c r="A322">
        <v>421</v>
      </c>
      <c r="B322" t="s">
        <v>366</v>
      </c>
      <c r="C322">
        <v>28</v>
      </c>
      <c r="D322" t="s">
        <v>373</v>
      </c>
      <c r="E322" t="s">
        <v>364</v>
      </c>
      <c r="F322">
        <v>1480.1</v>
      </c>
      <c r="G322">
        <v>21</v>
      </c>
      <c r="H322">
        <v>4.9</v>
      </c>
      <c r="I322" s="6" t="b">
        <v>0</v>
      </c>
      <c r="J322">
        <v>12</v>
      </c>
      <c r="K322" t="s">
        <v>365</v>
      </c>
    </row>
    <row r="323" spans="1:11">
      <c r="A323">
        <v>422</v>
      </c>
      <c r="B323" t="s">
        <v>366</v>
      </c>
      <c r="C323">
        <v>32</v>
      </c>
      <c r="D323" t="s">
        <v>374</v>
      </c>
      <c r="E323" t="s">
        <v>368</v>
      </c>
      <c r="F323">
        <v>660.3</v>
      </c>
      <c r="G323">
        <v>10</v>
      </c>
      <c r="H323">
        <v>3.8</v>
      </c>
      <c r="I323" s="6" t="b">
        <v>1</v>
      </c>
      <c r="J323">
        <v>40</v>
      </c>
      <c r="K323" t="s">
        <v>372</v>
      </c>
    </row>
    <row r="324" spans="1:11">
      <c r="A324">
        <v>423</v>
      </c>
      <c r="B324" t="s">
        <v>362</v>
      </c>
      <c r="C324">
        <v>36</v>
      </c>
      <c r="D324" t="s">
        <v>375</v>
      </c>
      <c r="E324" t="s">
        <v>371</v>
      </c>
      <c r="F324">
        <v>470.5</v>
      </c>
      <c r="G324">
        <v>8</v>
      </c>
      <c r="H324">
        <v>3</v>
      </c>
      <c r="I324" s="6" t="b">
        <v>0</v>
      </c>
      <c r="J324">
        <v>26</v>
      </c>
      <c r="K324" t="s">
        <v>369</v>
      </c>
    </row>
    <row r="325" spans="1:11">
      <c r="A325">
        <v>424</v>
      </c>
      <c r="B325" t="s">
        <v>362</v>
      </c>
      <c r="C325">
        <v>30</v>
      </c>
      <c r="D325" t="s">
        <v>363</v>
      </c>
      <c r="E325" t="s">
        <v>364</v>
      </c>
      <c r="F325">
        <v>1190.8</v>
      </c>
      <c r="G325">
        <v>16</v>
      </c>
      <c r="H325">
        <v>4.5</v>
      </c>
      <c r="I325" s="6" t="b">
        <v>1</v>
      </c>
      <c r="J325">
        <v>27</v>
      </c>
      <c r="K325" t="s">
        <v>365</v>
      </c>
    </row>
    <row r="326" spans="1:11">
      <c r="A326">
        <v>425</v>
      </c>
      <c r="B326" t="s">
        <v>366</v>
      </c>
      <c r="C326">
        <v>34</v>
      </c>
      <c r="D326" t="s">
        <v>367</v>
      </c>
      <c r="E326" t="s">
        <v>368</v>
      </c>
      <c r="F326">
        <v>780.2</v>
      </c>
      <c r="G326">
        <v>11</v>
      </c>
      <c r="H326">
        <v>4.2</v>
      </c>
      <c r="I326" s="6" t="b">
        <v>0</v>
      </c>
      <c r="J326">
        <v>18</v>
      </c>
      <c r="K326" t="s">
        <v>369</v>
      </c>
    </row>
    <row r="327" spans="1:11">
      <c r="A327">
        <v>426</v>
      </c>
      <c r="B327" t="s">
        <v>362</v>
      </c>
      <c r="C327">
        <v>43</v>
      </c>
      <c r="D327" t="s">
        <v>370</v>
      </c>
      <c r="E327" t="s">
        <v>371</v>
      </c>
      <c r="F327">
        <v>515.75</v>
      </c>
      <c r="G327">
        <v>10</v>
      </c>
      <c r="H327">
        <v>3.3</v>
      </c>
      <c r="I327" s="6" t="b">
        <v>1</v>
      </c>
      <c r="J327">
        <v>47</v>
      </c>
      <c r="K327" t="s">
        <v>372</v>
      </c>
    </row>
    <row r="328" spans="1:11">
      <c r="A328">
        <v>427</v>
      </c>
      <c r="B328" t="s">
        <v>366</v>
      </c>
      <c r="C328">
        <v>30</v>
      </c>
      <c r="D328" t="s">
        <v>373</v>
      </c>
      <c r="E328" t="s">
        <v>364</v>
      </c>
      <c r="F328">
        <v>1450.5</v>
      </c>
      <c r="G328">
        <v>19</v>
      </c>
      <c r="H328">
        <v>4.6</v>
      </c>
      <c r="I328" s="6" t="b">
        <v>0</v>
      </c>
      <c r="J328">
        <v>14</v>
      </c>
      <c r="K328" t="s">
        <v>365</v>
      </c>
    </row>
    <row r="329" spans="1:11">
      <c r="A329">
        <v>428</v>
      </c>
      <c r="B329" t="s">
        <v>366</v>
      </c>
      <c r="C329">
        <v>27</v>
      </c>
      <c r="D329" t="s">
        <v>374</v>
      </c>
      <c r="E329" t="s">
        <v>368</v>
      </c>
      <c r="F329">
        <v>710.4</v>
      </c>
      <c r="G329">
        <v>13</v>
      </c>
      <c r="H329">
        <v>4.1</v>
      </c>
      <c r="I329" s="6" t="b">
        <v>1</v>
      </c>
      <c r="J329">
        <v>62</v>
      </c>
      <c r="K329" t="s">
        <v>372</v>
      </c>
    </row>
    <row r="330" spans="1:11">
      <c r="A330">
        <v>429</v>
      </c>
      <c r="B330" t="s">
        <v>362</v>
      </c>
      <c r="C330">
        <v>37</v>
      </c>
      <c r="D330" t="s">
        <v>375</v>
      </c>
      <c r="E330" t="s">
        <v>371</v>
      </c>
      <c r="F330">
        <v>430.8</v>
      </c>
      <c r="G330">
        <v>7</v>
      </c>
      <c r="H330">
        <v>3.4</v>
      </c>
      <c r="I330" s="6" t="b">
        <v>0</v>
      </c>
      <c r="J330">
        <v>31</v>
      </c>
      <c r="K330" t="s">
        <v>369</v>
      </c>
    </row>
    <row r="331" spans="1:11">
      <c r="A331">
        <v>430</v>
      </c>
      <c r="B331" t="s">
        <v>362</v>
      </c>
      <c r="C331">
        <v>31</v>
      </c>
      <c r="D331" t="s">
        <v>363</v>
      </c>
      <c r="E331" t="s">
        <v>364</v>
      </c>
      <c r="F331">
        <v>1160.6</v>
      </c>
      <c r="G331">
        <v>15</v>
      </c>
      <c r="H331">
        <v>4.5</v>
      </c>
      <c r="I331" s="6" t="b">
        <v>1</v>
      </c>
      <c r="J331">
        <v>35</v>
      </c>
      <c r="K331" t="s">
        <v>365</v>
      </c>
    </row>
    <row r="332" spans="1:11">
      <c r="A332">
        <v>431</v>
      </c>
      <c r="B332" t="s">
        <v>366</v>
      </c>
      <c r="C332">
        <v>35</v>
      </c>
      <c r="D332" t="s">
        <v>367</v>
      </c>
      <c r="E332" t="s">
        <v>368</v>
      </c>
      <c r="F332">
        <v>820.9</v>
      </c>
      <c r="G332">
        <v>12</v>
      </c>
      <c r="H332">
        <v>4.3</v>
      </c>
      <c r="I332" s="6" t="b">
        <v>0</v>
      </c>
      <c r="J332">
        <v>20</v>
      </c>
      <c r="K332" t="s">
        <v>369</v>
      </c>
    </row>
    <row r="333" spans="1:11">
      <c r="A333">
        <v>432</v>
      </c>
      <c r="B333" t="s">
        <v>362</v>
      </c>
      <c r="C333">
        <v>41</v>
      </c>
      <c r="D333" t="s">
        <v>370</v>
      </c>
      <c r="E333" t="s">
        <v>371</v>
      </c>
      <c r="F333">
        <v>495.25</v>
      </c>
      <c r="G333">
        <v>9</v>
      </c>
      <c r="H333">
        <v>3.6</v>
      </c>
      <c r="I333" s="6" t="b">
        <v>1</v>
      </c>
      <c r="J333">
        <v>47</v>
      </c>
      <c r="K333" t="s">
        <v>372</v>
      </c>
    </row>
    <row r="334" spans="1:11">
      <c r="A334">
        <v>433</v>
      </c>
      <c r="B334" t="s">
        <v>366</v>
      </c>
      <c r="C334">
        <v>28</v>
      </c>
      <c r="D334" t="s">
        <v>373</v>
      </c>
      <c r="E334" t="s">
        <v>364</v>
      </c>
      <c r="F334">
        <v>1490.1</v>
      </c>
      <c r="G334">
        <v>21</v>
      </c>
      <c r="H334">
        <v>4.9</v>
      </c>
      <c r="I334" s="6" t="b">
        <v>0</v>
      </c>
      <c r="J334">
        <v>11</v>
      </c>
      <c r="K334" t="s">
        <v>365</v>
      </c>
    </row>
    <row r="335" spans="1:11">
      <c r="A335">
        <v>434</v>
      </c>
      <c r="B335" t="s">
        <v>366</v>
      </c>
      <c r="C335">
        <v>32</v>
      </c>
      <c r="D335" t="s">
        <v>374</v>
      </c>
      <c r="E335" t="s">
        <v>368</v>
      </c>
      <c r="F335">
        <v>660.3</v>
      </c>
      <c r="G335">
        <v>10</v>
      </c>
      <c r="H335">
        <v>3.8</v>
      </c>
      <c r="I335" s="6" t="b">
        <v>1</v>
      </c>
      <c r="J335">
        <v>41</v>
      </c>
      <c r="K335" t="s">
        <v>372</v>
      </c>
    </row>
    <row r="336" spans="1:11">
      <c r="A336">
        <v>435</v>
      </c>
      <c r="B336" t="s">
        <v>362</v>
      </c>
      <c r="C336">
        <v>36</v>
      </c>
      <c r="D336" t="s">
        <v>375</v>
      </c>
      <c r="E336" t="s">
        <v>371</v>
      </c>
      <c r="F336">
        <v>440.5</v>
      </c>
      <c r="G336">
        <v>8</v>
      </c>
      <c r="H336">
        <v>3.1</v>
      </c>
      <c r="I336" s="6" t="b">
        <v>0</v>
      </c>
      <c r="J336">
        <v>28</v>
      </c>
      <c r="K336" t="s">
        <v>369</v>
      </c>
    </row>
    <row r="337" spans="1:11">
      <c r="A337">
        <v>436</v>
      </c>
      <c r="B337" t="s">
        <v>362</v>
      </c>
      <c r="C337">
        <v>30</v>
      </c>
      <c r="D337" t="s">
        <v>363</v>
      </c>
      <c r="E337" t="s">
        <v>364</v>
      </c>
      <c r="F337">
        <v>1200.8</v>
      </c>
      <c r="G337">
        <v>16</v>
      </c>
      <c r="H337">
        <v>4.7</v>
      </c>
      <c r="I337" s="6" t="b">
        <v>1</v>
      </c>
      <c r="J337">
        <v>28</v>
      </c>
      <c r="K337" t="s">
        <v>365</v>
      </c>
    </row>
    <row r="338" spans="1:11">
      <c r="A338">
        <v>437</v>
      </c>
      <c r="B338" t="s">
        <v>366</v>
      </c>
      <c r="C338">
        <v>34</v>
      </c>
      <c r="D338" t="s">
        <v>367</v>
      </c>
      <c r="E338" t="s">
        <v>368</v>
      </c>
      <c r="F338">
        <v>780.2</v>
      </c>
      <c r="G338">
        <v>11</v>
      </c>
      <c r="H338">
        <v>4.1</v>
      </c>
      <c r="I338" s="6" t="b">
        <v>0</v>
      </c>
      <c r="J338">
        <v>19</v>
      </c>
      <c r="K338" t="s">
        <v>369</v>
      </c>
    </row>
    <row r="339" spans="1:11">
      <c r="A339">
        <v>438</v>
      </c>
      <c r="B339" t="s">
        <v>362</v>
      </c>
      <c r="C339">
        <v>43</v>
      </c>
      <c r="D339" t="s">
        <v>370</v>
      </c>
      <c r="E339" t="s">
        <v>371</v>
      </c>
      <c r="F339">
        <v>505.75</v>
      </c>
      <c r="G339">
        <v>10</v>
      </c>
      <c r="H339">
        <v>3.3</v>
      </c>
      <c r="I339" s="6" t="b">
        <v>1</v>
      </c>
      <c r="J339">
        <v>48</v>
      </c>
      <c r="K339" t="s">
        <v>372</v>
      </c>
    </row>
    <row r="340" spans="1:11">
      <c r="A340">
        <v>439</v>
      </c>
      <c r="B340" t="s">
        <v>366</v>
      </c>
      <c r="C340">
        <v>30</v>
      </c>
      <c r="D340" t="s">
        <v>373</v>
      </c>
      <c r="E340" t="s">
        <v>364</v>
      </c>
      <c r="F340">
        <v>1460.5</v>
      </c>
      <c r="G340">
        <v>20</v>
      </c>
      <c r="H340">
        <v>4.8</v>
      </c>
      <c r="I340" s="6" t="b">
        <v>0</v>
      </c>
      <c r="J340">
        <v>15</v>
      </c>
      <c r="K340" t="s">
        <v>365</v>
      </c>
    </row>
    <row r="341" spans="1:11">
      <c r="A341">
        <v>440</v>
      </c>
      <c r="B341" t="s">
        <v>366</v>
      </c>
      <c r="C341">
        <v>27</v>
      </c>
      <c r="D341" t="s">
        <v>374</v>
      </c>
      <c r="E341" t="s">
        <v>368</v>
      </c>
      <c r="F341">
        <v>710.4</v>
      </c>
      <c r="G341">
        <v>13</v>
      </c>
      <c r="H341">
        <v>4.1</v>
      </c>
      <c r="I341" s="6" t="b">
        <v>1</v>
      </c>
      <c r="J341">
        <v>63</v>
      </c>
      <c r="K341" t="s">
        <v>372</v>
      </c>
    </row>
    <row r="342" spans="1:11">
      <c r="A342">
        <v>441</v>
      </c>
      <c r="B342" t="s">
        <v>362</v>
      </c>
      <c r="C342">
        <v>37</v>
      </c>
      <c r="D342" t="s">
        <v>375</v>
      </c>
      <c r="E342" t="s">
        <v>371</v>
      </c>
      <c r="F342">
        <v>450.8</v>
      </c>
      <c r="G342">
        <v>7</v>
      </c>
      <c r="H342">
        <v>3.4</v>
      </c>
      <c r="I342" s="6" t="b">
        <v>0</v>
      </c>
      <c r="J342">
        <v>32</v>
      </c>
      <c r="K342" t="s">
        <v>369</v>
      </c>
    </row>
    <row r="343" spans="1:11">
      <c r="A343">
        <v>442</v>
      </c>
      <c r="B343" t="s">
        <v>362</v>
      </c>
      <c r="C343">
        <v>31</v>
      </c>
      <c r="D343" t="s">
        <v>363</v>
      </c>
      <c r="E343" t="s">
        <v>364</v>
      </c>
      <c r="F343">
        <v>1140.6</v>
      </c>
      <c r="G343">
        <v>15</v>
      </c>
      <c r="H343">
        <v>4.5</v>
      </c>
      <c r="I343" s="6" t="b">
        <v>1</v>
      </c>
      <c r="J343">
        <v>36</v>
      </c>
      <c r="K343" t="s">
        <v>365</v>
      </c>
    </row>
    <row r="344" spans="1:11">
      <c r="A344">
        <v>443</v>
      </c>
      <c r="B344" t="s">
        <v>366</v>
      </c>
      <c r="C344">
        <v>35</v>
      </c>
      <c r="D344" t="s">
        <v>367</v>
      </c>
      <c r="E344" t="s">
        <v>368</v>
      </c>
      <c r="F344">
        <v>800.9</v>
      </c>
      <c r="G344">
        <v>12</v>
      </c>
      <c r="H344">
        <v>4.1</v>
      </c>
      <c r="I344" s="6" t="b">
        <v>0</v>
      </c>
      <c r="J344">
        <v>20</v>
      </c>
      <c r="K344" t="s">
        <v>369</v>
      </c>
    </row>
    <row r="345" spans="1:11">
      <c r="A345">
        <v>444</v>
      </c>
      <c r="B345" t="s">
        <v>362</v>
      </c>
      <c r="C345">
        <v>41</v>
      </c>
      <c r="D345" t="s">
        <v>370</v>
      </c>
      <c r="E345" t="s">
        <v>371</v>
      </c>
      <c r="F345">
        <v>475.25</v>
      </c>
      <c r="G345">
        <v>9</v>
      </c>
      <c r="H345">
        <v>3.6</v>
      </c>
      <c r="I345" s="6" t="b">
        <v>1</v>
      </c>
      <c r="J345">
        <v>48</v>
      </c>
      <c r="K345" t="s">
        <v>372</v>
      </c>
    </row>
    <row r="346" spans="1:11">
      <c r="A346">
        <v>445</v>
      </c>
      <c r="B346" t="s">
        <v>366</v>
      </c>
      <c r="C346">
        <v>28</v>
      </c>
      <c r="D346" t="s">
        <v>373</v>
      </c>
      <c r="E346" t="s">
        <v>364</v>
      </c>
      <c r="F346">
        <v>1480.1</v>
      </c>
      <c r="G346">
        <v>21</v>
      </c>
      <c r="H346">
        <v>4.9</v>
      </c>
      <c r="I346" s="6" t="b">
        <v>0</v>
      </c>
      <c r="J346">
        <v>13</v>
      </c>
      <c r="K346" t="s">
        <v>365</v>
      </c>
    </row>
    <row r="347" spans="1:11">
      <c r="A347">
        <v>446</v>
      </c>
      <c r="B347" t="s">
        <v>366</v>
      </c>
      <c r="C347">
        <v>32</v>
      </c>
      <c r="D347" t="s">
        <v>374</v>
      </c>
      <c r="E347" t="s">
        <v>368</v>
      </c>
      <c r="F347">
        <v>660.3</v>
      </c>
      <c r="G347">
        <v>10</v>
      </c>
      <c r="H347">
        <v>3.8</v>
      </c>
      <c r="I347" s="6" t="b">
        <v>1</v>
      </c>
      <c r="J347">
        <v>42</v>
      </c>
      <c r="K347" t="s">
        <v>372</v>
      </c>
    </row>
    <row r="348" spans="1:11">
      <c r="A348">
        <v>447</v>
      </c>
      <c r="B348" t="s">
        <v>362</v>
      </c>
      <c r="C348">
        <v>36</v>
      </c>
      <c r="D348" t="s">
        <v>375</v>
      </c>
      <c r="E348" t="s">
        <v>371</v>
      </c>
      <c r="F348">
        <v>470.5</v>
      </c>
      <c r="G348">
        <v>8</v>
      </c>
      <c r="H348">
        <v>3</v>
      </c>
      <c r="I348" s="6" t="b">
        <v>0</v>
      </c>
      <c r="J348">
        <v>27</v>
      </c>
      <c r="K348" t="s">
        <v>369</v>
      </c>
    </row>
    <row r="349" spans="1:11">
      <c r="A349">
        <v>448</v>
      </c>
      <c r="B349" t="s">
        <v>362</v>
      </c>
      <c r="C349">
        <v>30</v>
      </c>
      <c r="D349" t="s">
        <v>363</v>
      </c>
      <c r="E349" t="s">
        <v>364</v>
      </c>
      <c r="F349">
        <v>1190.8</v>
      </c>
      <c r="G349">
        <v>16</v>
      </c>
      <c r="H349">
        <v>4.5</v>
      </c>
      <c r="I349" s="6" t="b">
        <v>1</v>
      </c>
      <c r="J349">
        <v>28</v>
      </c>
      <c r="K349" t="s">
        <v>365</v>
      </c>
    </row>
    <row r="350" spans="1:11">
      <c r="A350">
        <v>449</v>
      </c>
      <c r="B350" t="s">
        <v>366</v>
      </c>
      <c r="C350">
        <v>34</v>
      </c>
      <c r="D350" t="s">
        <v>367</v>
      </c>
      <c r="E350" t="s">
        <v>368</v>
      </c>
      <c r="F350">
        <v>780.2</v>
      </c>
      <c r="G350">
        <v>11</v>
      </c>
      <c r="H350">
        <v>4.2</v>
      </c>
      <c r="I350" s="6" t="b">
        <v>0</v>
      </c>
      <c r="J350">
        <v>21</v>
      </c>
      <c r="K350" t="s">
        <v>369</v>
      </c>
    </row>
    <row r="351" spans="1:11">
      <c r="A351">
        <v>450</v>
      </c>
      <c r="B351" t="s">
        <v>362</v>
      </c>
      <c r="C351">
        <v>43</v>
      </c>
      <c r="D351" t="s">
        <v>370</v>
      </c>
      <c r="E351" t="s">
        <v>371</v>
      </c>
      <c r="F351">
        <v>515.75</v>
      </c>
      <c r="G351">
        <v>10</v>
      </c>
      <c r="H351">
        <v>3.3</v>
      </c>
      <c r="I351" s="6" t="b">
        <v>1</v>
      </c>
      <c r="J351">
        <v>49</v>
      </c>
      <c r="K351" t="s">
        <v>372</v>
      </c>
    </row>
    <row r="352" spans="1:11">
      <c r="A352" t="s">
        <v>377</v>
      </c>
      <c r="K352">
        <f>SUBTOTAL(103,Behavior_DL[Satisfaction Level])</f>
        <v>350</v>
      </c>
    </row>
  </sheetData>
  <conditionalFormatting sqref="A1:A351;A353:A1048576">
    <cfRule type="duplicateValues" dxfId="1" priority="1"/>
  </conditionalFormatting>
  <pageMargins left="0.75" right="0.75" top="1" bottom="1" header="0.5" footer="0.5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I37"/>
  <sheetViews>
    <sheetView workbookViewId="0">
      <selection activeCell="G22" sqref="G22"/>
    </sheetView>
  </sheetViews>
  <sheetFormatPr defaultColWidth="9.14285714285714" defaultRowHeight="15"/>
  <cols>
    <col min="1" max="1" width="13.5714285714286"/>
    <col min="2" max="2" width="21.2857142857143"/>
    <col min="3" max="3" width="11.4285714285714" customWidth="1"/>
    <col min="4" max="4" width="20.7142857142857"/>
    <col min="5" max="5" width="21.2857142857143"/>
    <col min="6" max="7" width="25.5714285714286"/>
    <col min="8" max="9" width="25.8571428571429"/>
  </cols>
  <sheetData>
    <row r="2" ht="29" customHeight="1"/>
    <row r="3" spans="1:9">
      <c r="A3" t="s">
        <v>352</v>
      </c>
      <c r="B3" t="s">
        <v>378</v>
      </c>
      <c r="C3"/>
      <c r="D3" t="s">
        <v>379</v>
      </c>
      <c r="E3" t="s">
        <v>380</v>
      </c>
      <c r="F3" t="s">
        <v>381</v>
      </c>
      <c r="G3" t="s">
        <v>382</v>
      </c>
      <c r="H3" t="s">
        <v>383</v>
      </c>
      <c r="I3" t="s">
        <v>384</v>
      </c>
    </row>
    <row r="4" spans="1:9">
      <c r="A4" t="s">
        <v>362</v>
      </c>
      <c r="B4" s="2">
        <v>123170</v>
      </c>
      <c r="C4"/>
      <c r="D4">
        <v>350</v>
      </c>
      <c r="E4" s="3">
        <v>33.5971428571429</v>
      </c>
      <c r="F4" s="4">
        <v>845.381714285713</v>
      </c>
      <c r="G4" s="2">
        <v>295883.6</v>
      </c>
      <c r="H4" s="2">
        <v>26.5885714285714</v>
      </c>
      <c r="I4" s="3">
        <v>4410</v>
      </c>
    </row>
    <row r="5" spans="1:2">
      <c r="A5" t="s">
        <v>366</v>
      </c>
      <c r="B5" s="2">
        <v>172713.6</v>
      </c>
    </row>
    <row r="6" spans="1:2">
      <c r="A6" t="s">
        <v>385</v>
      </c>
      <c r="B6" s="2">
        <v>295883.6</v>
      </c>
    </row>
    <row r="9" spans="1:7">
      <c r="A9" t="s">
        <v>361</v>
      </c>
      <c r="B9" t="s">
        <v>386</v>
      </c>
      <c r="C9"/>
      <c r="D9" t="s">
        <v>354</v>
      </c>
      <c r="E9" t="s">
        <v>378</v>
      </c>
      <c r="F9" t="s">
        <v>387</v>
      </c>
      <c r="G9" t="s">
        <v>388</v>
      </c>
    </row>
    <row r="10" spans="1:7">
      <c r="A10" t="s">
        <v>376</v>
      </c>
      <c r="B10">
        <v>2</v>
      </c>
      <c r="C10"/>
      <c r="D10" t="s">
        <v>370</v>
      </c>
      <c r="E10" s="2">
        <v>28993.2</v>
      </c>
      <c r="F10" s="2">
        <v>499.88275862069</v>
      </c>
      <c r="G10">
        <v>845</v>
      </c>
    </row>
    <row r="11" spans="1:7">
      <c r="A11" t="s">
        <v>369</v>
      </c>
      <c r="B11">
        <v>107</v>
      </c>
      <c r="C11"/>
      <c r="D11" t="s">
        <v>375</v>
      </c>
      <c r="E11" s="2">
        <v>25919.9</v>
      </c>
      <c r="F11" s="2">
        <v>446.894827586207</v>
      </c>
      <c r="G11">
        <v>845</v>
      </c>
    </row>
    <row r="12" spans="1:7">
      <c r="A12" t="s">
        <v>365</v>
      </c>
      <c r="B12">
        <v>125</v>
      </c>
      <c r="C12"/>
      <c r="D12" t="s">
        <v>367</v>
      </c>
      <c r="E12" s="2">
        <v>47524</v>
      </c>
      <c r="F12" s="2">
        <v>805.491525423729</v>
      </c>
      <c r="G12">
        <v>845</v>
      </c>
    </row>
    <row r="13" spans="1:7">
      <c r="A13" t="s">
        <v>372</v>
      </c>
      <c r="B13">
        <v>116</v>
      </c>
      <c r="C13"/>
      <c r="D13" t="s">
        <v>374</v>
      </c>
      <c r="E13" s="2">
        <v>40042.6</v>
      </c>
      <c r="F13" s="2">
        <v>690.389655172414</v>
      </c>
      <c r="G13">
        <v>845</v>
      </c>
    </row>
    <row r="14" spans="1:7">
      <c r="A14" t="s">
        <v>385</v>
      </c>
      <c r="B14">
        <v>350</v>
      </c>
      <c r="C14"/>
      <c r="D14" t="s">
        <v>363</v>
      </c>
      <c r="E14" s="2">
        <v>68737.1</v>
      </c>
      <c r="F14" s="2">
        <v>1165.03559322034</v>
      </c>
      <c r="G14">
        <v>845</v>
      </c>
    </row>
    <row r="15" spans="4:7">
      <c r="D15" t="s">
        <v>373</v>
      </c>
      <c r="E15" s="2">
        <v>84666.8</v>
      </c>
      <c r="F15" s="2">
        <v>1459.7724137931</v>
      </c>
      <c r="G15">
        <v>845</v>
      </c>
    </row>
    <row r="16" spans="1:7">
      <c r="A16" t="s">
        <v>353</v>
      </c>
      <c r="B16" t="s">
        <v>378</v>
      </c>
      <c r="C16"/>
      <c r="D16" t="s">
        <v>385</v>
      </c>
      <c r="E16" s="2">
        <v>295883.6</v>
      </c>
      <c r="F16" s="2">
        <v>845.381714285715</v>
      </c>
      <c r="G16">
        <v>845</v>
      </c>
    </row>
    <row r="17" spans="1:2">
      <c r="A17" t="s">
        <v>389</v>
      </c>
      <c r="B17" s="2">
        <v>73980.7</v>
      </c>
    </row>
    <row r="18" spans="1:2">
      <c r="A18" t="s">
        <v>390</v>
      </c>
      <c r="B18" s="2">
        <v>146017.4</v>
      </c>
    </row>
    <row r="19" spans="1:2">
      <c r="A19" t="s">
        <v>391</v>
      </c>
      <c r="B19" s="2">
        <v>46892.3</v>
      </c>
    </row>
    <row r="20" spans="1:2">
      <c r="A20" t="s">
        <v>392</v>
      </c>
      <c r="B20" s="2">
        <v>28993.2</v>
      </c>
    </row>
    <row r="21" spans="1:5">
      <c r="A21" t="s">
        <v>385</v>
      </c>
      <c r="B21" s="2">
        <v>295883.6</v>
      </c>
      <c r="C21"/>
      <c r="D21" t="s">
        <v>355</v>
      </c>
      <c r="E21" t="s">
        <v>378</v>
      </c>
    </row>
    <row r="22" spans="4:5">
      <c r="D22" t="s">
        <v>371</v>
      </c>
      <c r="E22" s="5">
        <v>0.185590211826543</v>
      </c>
    </row>
    <row r="23" spans="4:5">
      <c r="D23" t="s">
        <v>364</v>
      </c>
      <c r="E23" s="5">
        <v>0.518460299928756</v>
      </c>
    </row>
    <row r="24" spans="4:5">
      <c r="D24" t="s">
        <v>368</v>
      </c>
      <c r="E24" s="5">
        <v>0.295949488244702</v>
      </c>
    </row>
    <row r="25" spans="4:5">
      <c r="D25" t="s">
        <v>385</v>
      </c>
      <c r="E25" s="5">
        <v>1</v>
      </c>
    </row>
    <row r="27" spans="4:6">
      <c r="D27" t="s">
        <v>355</v>
      </c>
      <c r="E27" t="s">
        <v>354</v>
      </c>
      <c r="F27" t="s">
        <v>393</v>
      </c>
    </row>
    <row r="28" spans="4:6">
      <c r="D28" t="s">
        <v>371</v>
      </c>
      <c r="E28" t="s">
        <v>370</v>
      </c>
      <c r="F28">
        <v>16017</v>
      </c>
    </row>
    <row r="29" spans="5:6">
      <c r="E29" t="s">
        <v>375</v>
      </c>
      <c r="F29">
        <v>16041</v>
      </c>
    </row>
    <row r="30" spans="4:6">
      <c r="D30" t="s">
        <v>394</v>
      </c>
      <c r="E30"/>
      <c r="F30">
        <v>32058</v>
      </c>
    </row>
    <row r="31" spans="4:6">
      <c r="D31" t="s">
        <v>364</v>
      </c>
      <c r="E31" t="s">
        <v>363</v>
      </c>
      <c r="F31">
        <v>16200</v>
      </c>
    </row>
    <row r="32" spans="5:6">
      <c r="E32" t="s">
        <v>373</v>
      </c>
      <c r="F32">
        <v>15925</v>
      </c>
    </row>
    <row r="33" spans="4:6">
      <c r="D33" t="s">
        <v>395</v>
      </c>
      <c r="E33"/>
      <c r="F33">
        <v>32125</v>
      </c>
    </row>
    <row r="34" spans="4:6">
      <c r="D34" t="s">
        <v>368</v>
      </c>
      <c r="E34" t="s">
        <v>367</v>
      </c>
      <c r="F34">
        <v>16259</v>
      </c>
    </row>
    <row r="35" spans="5:6">
      <c r="E35" t="s">
        <v>374</v>
      </c>
      <c r="F35">
        <v>15983</v>
      </c>
    </row>
    <row r="36" spans="4:6">
      <c r="D36" t="s">
        <v>396</v>
      </c>
      <c r="E36"/>
      <c r="F36">
        <v>32242</v>
      </c>
    </row>
    <row r="37" spans="4:6">
      <c r="D37" t="s">
        <v>385</v>
      </c>
      <c r="E37"/>
      <c r="F37">
        <v>96425</v>
      </c>
    </row>
  </sheetData>
  <pageMargins left="0.75" right="0.75" top="1" bottom="1" header="0.5" footer="0.5"/>
  <headerFooter/>
  <drawing r:id="rId8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showGridLines="0" showRowColHeaders="0" tabSelected="1" workbookViewId="0">
      <selection activeCell="N8" sqref="N8"/>
    </sheetView>
  </sheetViews>
  <sheetFormatPr defaultColWidth="9.14285714285714" defaultRowHeight="15"/>
  <cols>
    <col min="1" max="16384" width="9.14285714285714" style="1"/>
  </cols>
  <sheetData/>
  <pageMargins left="0.75" right="0.75" top="1" bottom="1" header="0.5" footer="0.5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E-commerce Customer Behavior_DC</vt:lpstr>
      <vt:lpstr>E-commerce Customer Behavior_DL</vt:lpstr>
      <vt:lpstr>analisis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Richard Garcia</cp:lastModifiedBy>
  <dcterms:created xsi:type="dcterms:W3CDTF">2026-01-28T01:33:34Z</dcterms:created>
  <dcterms:modified xsi:type="dcterms:W3CDTF">2026-01-28T05:37:40Z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3082-12.2.0.23196</vt:lpwstr>
  </property>
  <property fmtid="{D5CDD505-2E9C-101B-9397-08002B2CF9AE}" pid="3" name="ICV">
    <vt:lpwstr>2E5A87CC553142C687FE3906A4ADFAD6_13</vt:lpwstr>
  </property>
</Properties>
</file>